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gelineau\Desktop\"/>
    </mc:Choice>
  </mc:AlternateContent>
  <xr:revisionPtr revIDLastSave="0" documentId="8_{44641626-11F7-44E4-86FD-ED88A38B4E76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  <workbookView xWindow="28680" yWindow="-120" windowWidth="29040" windowHeight="15720" firstSheet="1" activeTab="1" xr2:uid="{473734E0-8536-408A-B384-F687B9300A6B}"/>
  </bookViews>
  <sheets>
    <sheet name="INSTRUCTIONS" sheetId="1" r:id="rId1"/>
    <sheet name="BY REP" sheetId="2" r:id="rId2"/>
    <sheet name="BY CATEGORY" sheetId="3" r:id="rId3"/>
    <sheet name="BY REGION" sheetId="4" r:id="rId4"/>
    <sheet name="KEY ACCOUNTS" sheetId="5" r:id="rId5"/>
    <sheet name="SPECIALTY ACCOUNTS" sheetId="6" r:id="rId6"/>
    <sheet name="CHANNEL BUDGET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2" i="3" l="1"/>
  <c r="E42" i="3"/>
  <c r="F42" i="3"/>
  <c r="G42" i="3"/>
  <c r="H42" i="3"/>
  <c r="I42" i="3"/>
  <c r="C42" i="3"/>
  <c r="B42" i="3"/>
  <c r="K41" i="3"/>
  <c r="J41" i="3"/>
  <c r="J39" i="3"/>
  <c r="K39" i="3"/>
  <c r="J40" i="3"/>
  <c r="K40" i="3"/>
  <c r="N16" i="2"/>
  <c r="L19" i="2"/>
  <c r="L15" i="2"/>
  <c r="L17" i="2" s="1"/>
  <c r="M17" i="2"/>
  <c r="M16" i="2"/>
  <c r="L16" i="2"/>
  <c r="F48" i="2"/>
  <c r="E48" i="2"/>
  <c r="E46" i="2"/>
  <c r="E45" i="2"/>
  <c r="C20" i="5"/>
  <c r="C21" i="5"/>
  <c r="C22" i="5"/>
  <c r="C10" i="5"/>
  <c r="C11" i="5"/>
  <c r="C12" i="5"/>
  <c r="C13" i="5"/>
  <c r="C14" i="5"/>
  <c r="C15" i="5"/>
  <c r="C16" i="5"/>
  <c r="C17" i="5"/>
  <c r="C18" i="5"/>
  <c r="C19" i="5"/>
  <c r="E43" i="2"/>
  <c r="F41" i="2"/>
  <c r="F40" i="2"/>
  <c r="F39" i="2"/>
  <c r="B9" i="6" l="1"/>
  <c r="D6" i="4"/>
  <c r="D7" i="4"/>
  <c r="D8" i="4"/>
  <c r="D9" i="4"/>
  <c r="B10" i="7" l="1"/>
  <c r="C9" i="7"/>
  <c r="C8" i="7"/>
  <c r="C7" i="7"/>
  <c r="C6" i="7"/>
  <c r="C5" i="7"/>
  <c r="C8" i="6"/>
  <c r="C7" i="6"/>
  <c r="C6" i="6"/>
  <c r="C5" i="6"/>
  <c r="C9" i="5"/>
  <c r="C8" i="5"/>
  <c r="C7" i="5"/>
  <c r="C6" i="5"/>
  <c r="C5" i="5"/>
  <c r="C8" i="4"/>
  <c r="C7" i="4"/>
  <c r="C6" i="4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J42" i="3" s="1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E47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K42" i="3" l="1"/>
  <c r="F43" i="2"/>
  <c r="F46" i="2"/>
  <c r="F47" i="2"/>
  <c r="C10" i="7"/>
  <c r="C9" i="6"/>
  <c r="F45" i="2"/>
  <c r="B9" i="4"/>
  <c r="C5" i="4"/>
  <c r="C9" i="4" s="1"/>
  <c r="D5" i="4" l="1"/>
</calcChain>
</file>

<file path=xl/sharedStrings.xml><?xml version="1.0" encoding="utf-8"?>
<sst xmlns="http://schemas.openxmlformats.org/spreadsheetml/2006/main" count="299" uniqueCount="143">
  <si>
    <t>FY2026 BUDGET TEMPLATE — TRUE SPORTS</t>
  </si>
  <si>
    <t>HOW TO USE THIS TEMPLATE</t>
  </si>
  <si>
    <t>1. BY REP</t>
  </si>
  <si>
    <t>Enter each rep's total annual budget in USD (column E, blue cells). Rep Team column classifies Elite/Retail/Dual.</t>
  </si>
  <si>
    <t>CAD column auto-calculates at 1.3699 FX rate.</t>
  </si>
  <si>
    <t>2. BY CATEGORY</t>
  </si>
  <si>
    <t>Break down each rep's budget across 5 product categories.</t>
  </si>
  <si>
    <t>Category Total (col G) should match their Rep Budget (col H, linked from BY REP).</t>
  </si>
  <si>
    <t>3. BY REGION</t>
  </si>
  <si>
    <t>Auto-calculated — no input needed. Pulls from BY REP.</t>
  </si>
  <si>
    <t>4. KEY ACCOUNTS</t>
  </si>
  <si>
    <t>Enter budget targets for each Key Account retailer.</t>
  </si>
  <si>
    <t>5. CHANNEL BUDGETS</t>
  </si>
  <si>
    <t>Enter budget targets by channel: DTC, Elite, Key Account, Specialty, Other.</t>
  </si>
  <si>
    <t>NOTES</t>
  </si>
  <si>
    <t>Removed reps: Corey Gregory (→ Dave McNally), Steve Sutherland (→ Dave McNally), Rich Vanbellinger (→ Dave Campbell). Added: Lucas Gore (Elite), PHILIPPE BOUDREAULT MCNICOLL (EU). ROW region added as placeholder.</t>
  </si>
  <si>
    <t>Blue text on yellow</t>
  </si>
  <si>
    <t>Input cell (enter your numbers here)</t>
  </si>
  <si>
    <t>Black text</t>
  </si>
  <si>
    <t>Formula (auto-calculated, do not edit)</t>
  </si>
  <si>
    <t>Green text</t>
  </si>
  <si>
    <t>Cross-sheet link</t>
  </si>
  <si>
    <t>CURRENCY</t>
  </si>
  <si>
    <t>All inputs in USD. CAD columns auto-convert at FX = 1.3699.</t>
  </si>
  <si>
    <t>To change FX rate, update the formulas in each sheet.</t>
  </si>
  <si>
    <t>This file feeds the True Sports Performance Dashboard.</t>
  </si>
  <si>
    <t>Once complete, budgets will be locked into the dashboard for the fiscal year.</t>
  </si>
  <si>
    <t>FY2026 Budget — By Sales Rep</t>
  </si>
  <si>
    <t>Enter annual budget for each rep in USD (blue cells). Rep Team: Elite / Retail / Dual.</t>
  </si>
  <si>
    <t>Rep Name</t>
  </si>
  <si>
    <t>Region</t>
  </si>
  <si>
    <t>Country</t>
  </si>
  <si>
    <t>Rep Team</t>
  </si>
  <si>
    <t>FY2026 Budget (USD)</t>
  </si>
  <si>
    <t>FY2026 Budget (CAD)</t>
  </si>
  <si>
    <t>Notes</t>
  </si>
  <si>
    <t>Brad Savelson</t>
  </si>
  <si>
    <t>CAN</t>
  </si>
  <si>
    <t>CA</t>
  </si>
  <si>
    <t>Retail</t>
  </si>
  <si>
    <t>Brent Hobday</t>
  </si>
  <si>
    <t>Carl Menard</t>
  </si>
  <si>
    <t>Greg Pettis</t>
  </si>
  <si>
    <t>JEFF LYNCH</t>
  </si>
  <si>
    <t>Key Accounts Canada</t>
  </si>
  <si>
    <t>Marc-Andre Bellehumeur</t>
  </si>
  <si>
    <t>Mario Richard</t>
  </si>
  <si>
    <t>Mario Therrien</t>
  </si>
  <si>
    <t>Scott Sissions</t>
  </si>
  <si>
    <t>WES HUETHER</t>
  </si>
  <si>
    <t>Adam Berkhoel</t>
  </si>
  <si>
    <t>USA</t>
  </si>
  <si>
    <t>US</t>
  </si>
  <si>
    <t>Elite</t>
  </si>
  <si>
    <t>DAVE MCNALLY</t>
  </si>
  <si>
    <t>Dave Campbell</t>
  </si>
  <si>
    <t>Jesse Nifong (Hockey)</t>
  </si>
  <si>
    <t>Jon Nassoura</t>
  </si>
  <si>
    <t>Key Accounts US</t>
  </si>
  <si>
    <t>Lucas Gore</t>
  </si>
  <si>
    <t>MITCHELL WALKER</t>
  </si>
  <si>
    <t>Matt Shaw</t>
  </si>
  <si>
    <t>SCOTT BROWN</t>
  </si>
  <si>
    <t>Dual</t>
  </si>
  <si>
    <t>SCOTT WALKER</t>
  </si>
  <si>
    <t>Steve Boersma</t>
  </si>
  <si>
    <t>VINCENT PIZZO</t>
  </si>
  <si>
    <t>Zac Lampson</t>
  </si>
  <si>
    <t>Andreas Lindqvist</t>
  </si>
  <si>
    <t>EU</t>
  </si>
  <si>
    <t>Andrew McPherson</t>
  </si>
  <si>
    <t>Andris Stepins</t>
  </si>
  <si>
    <t>Filippo Dal Ben</t>
  </si>
  <si>
    <t>Jonathan Weaver</t>
  </si>
  <si>
    <t>PETTERI LINNONMAA</t>
  </si>
  <si>
    <t>PHILIPPE BOUDREAULT MCNICOLL</t>
  </si>
  <si>
    <t>ProjektS</t>
  </si>
  <si>
    <t>Tilen Smolnikar</t>
  </si>
  <si>
    <t>TOTAL</t>
  </si>
  <si>
    <t>CAN Total</t>
  </si>
  <si>
    <t>USA Total</t>
  </si>
  <si>
    <t>EU Total</t>
  </si>
  <si>
    <t>ROW Total</t>
  </si>
  <si>
    <t>FY2026 Budget — By Rep × Category</t>
  </si>
  <si>
    <t>Enter category budgets per rep (USD). Row totals should match BY REP sheet. Blue cells = input.</t>
  </si>
  <si>
    <t>Sticks</t>
  </si>
  <si>
    <t>Custom Skates</t>
  </si>
  <si>
    <t>Stock Skates</t>
  </si>
  <si>
    <t>Custom Goalie</t>
  </si>
  <si>
    <t>Stock Goalie</t>
  </si>
  <si>
    <t>Category Total</t>
  </si>
  <si>
    <t>Rep Budget (link)</t>
  </si>
  <si>
    <t>Variance (Cat Total vs Rep Budget)</t>
  </si>
  <si>
    <t>FY2026 Budget — By Region</t>
  </si>
  <si>
    <t>Auto-calculated from BY REP sheet. No manual entry needed.</t>
  </si>
  <si>
    <t>Budget (USD)</t>
  </si>
  <si>
    <t>Budget (CAD)</t>
  </si>
  <si>
    <t>% of Total</t>
  </si>
  <si>
    <t>ROW</t>
  </si>
  <si>
    <t>GLOBAL TOTAL</t>
  </si>
  <si>
    <t>FY2026 Budget — Key Accounts</t>
  </si>
  <si>
    <t>Enter budget by Key Account (USD). Blue cells = input.</t>
  </si>
  <si>
    <t>Key Account</t>
  </si>
  <si>
    <t>PRO HOCKEY LIFE</t>
  </si>
  <si>
    <t>PURE HOCKEY</t>
  </si>
  <si>
    <t>MONKEY USA</t>
  </si>
  <si>
    <t>MONKEY CANADA</t>
  </si>
  <si>
    <t>SPORT CHEK</t>
  </si>
  <si>
    <t>PIAS USA</t>
  </si>
  <si>
    <t>PIAS CANADA</t>
  </si>
  <si>
    <t>PERANIS</t>
  </si>
  <si>
    <t>FY2026 Budget — Specialty Accounts</t>
  </si>
  <si>
    <t>Enter budget by Specialty Account (USD). Blue cells = input.</t>
  </si>
  <si>
    <t>Specialty Account</t>
  </si>
  <si>
    <t>SOURCE FOR SPORTS CANADA</t>
  </si>
  <si>
    <t>SOURCE FOR SPORTS USA</t>
  </si>
  <si>
    <t>FGL FRANCHISE DIVISION</t>
  </si>
  <si>
    <t>SPORTS EXCELLENCE CANADA</t>
  </si>
  <si>
    <t>SPORTS EXCELLENCE USA</t>
  </si>
  <si>
    <t>INDEPENDENTS CANADA</t>
  </si>
  <si>
    <t>INDEPENDENTS USA</t>
  </si>
  <si>
    <t>SPORTS AUX PUCES</t>
  </si>
  <si>
    <t>SPECIALTY TOTAL</t>
  </si>
  <si>
    <t>FY2026 Budget — By Channel</t>
  </si>
  <si>
    <t>Enter budget by channel (USD). Blue cells = input.</t>
  </si>
  <si>
    <t>Channel</t>
  </si>
  <si>
    <t>DTC</t>
  </si>
  <si>
    <t>CHANNEL TOTAL</t>
  </si>
  <si>
    <t>BAGS</t>
  </si>
  <si>
    <t>OTHER</t>
  </si>
  <si>
    <t>PROTECTIVE</t>
  </si>
  <si>
    <t>FGL FRANCHISES</t>
  </si>
  <si>
    <t>INDEPENDENTS</t>
  </si>
  <si>
    <t>SOURCE FOR SPORTS</t>
  </si>
  <si>
    <t>SPORTS EXCELLENCE</t>
  </si>
  <si>
    <t>Key Account N-A</t>
  </si>
  <si>
    <t>Specialty N-A</t>
  </si>
  <si>
    <t>Other N-A</t>
  </si>
  <si>
    <t>Direct</t>
  </si>
  <si>
    <t>NO SALES CREDIT -DTC US</t>
  </si>
  <si>
    <t>NO SALES CREDIT -DTC CAN</t>
  </si>
  <si>
    <t>DISTRIBUTORS NA</t>
  </si>
  <si>
    <t>FGL CORPORATE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</si>
</sst>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9" x14ac:knownFonts="1">
    <font>
      <sz val="11"/>
      <color theme="1"/>
      <name val="Calibri"/>
      <family val="2"/>
      <charset val="1"/>
    </font>
    <font>
      <b/>
      <sz val="16"/>
      <color rgb="FF0F1F3A"/>
      <name val="Arial"/>
      <family val="2"/>
    </font>
    <font>
      <sz val="10"/>
      <color rgb="FF475569"/>
      <name val="Arial"/>
      <family val="2"/>
    </font>
    <font>
      <b/>
      <sz val="12"/>
      <color rgb="FF0F1F3A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rgb="FF0F1F3A"/>
      <name val="Arial"/>
      <family val="2"/>
    </font>
    <font>
      <i/>
      <sz val="9"/>
      <color rgb="FF6B7280"/>
      <name val="Arial"/>
      <family val="2"/>
    </font>
    <font>
      <b/>
      <sz val="10"/>
      <color rgb="FF0F1F3A"/>
      <name val="Arial"/>
      <family val="2"/>
    </font>
    <font>
      <sz val="10"/>
      <color rgb="FF000000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DBEAFE"/>
        <bgColor rgb="FFCCFFFF"/>
      </patternFill>
    </fill>
    <fill>
      <patternFill patternType="solid">
        <fgColor rgb="FF0F1F3A"/>
        <bgColor rgb="FF33333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/>
    <xf numFmtId="0" fontId="0" fillId="0" borderId="1" xfId="0" applyBorder="1"/>
    <xf numFmtId="0" fontId="9" fillId="0" borderId="1" xfId="0" applyFont="1" applyBorder="1"/>
    <xf numFmtId="0" fontId="12" fillId="0" borderId="0" xfId="0" applyFont="1"/>
    <xf numFmtId="0" fontId="13" fillId="0" borderId="1" xfId="0" applyFont="1" applyBorder="1" applyAlignment="1">
      <alignment horizontal="left" vertical="center"/>
    </xf>
    <xf numFmtId="0" fontId="12" fillId="0" borderId="1" xfId="0" applyFont="1" applyBorder="1"/>
    <xf numFmtId="164" fontId="12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/>
    <xf numFmtId="0" fontId="12" fillId="0" borderId="2" xfId="0" applyFont="1" applyBorder="1" applyAlignment="1">
      <alignment horizontal="left" vertical="center"/>
    </xf>
    <xf numFmtId="164" fontId="12" fillId="0" borderId="2" xfId="0" applyNumberFormat="1" applyFont="1" applyBorder="1" applyAlignment="1">
      <alignment horizontal="center" vertical="center"/>
    </xf>
    <xf numFmtId="0" fontId="13" fillId="0" borderId="1" xfId="0" applyFont="1" applyBorder="1"/>
    <xf numFmtId="164" fontId="11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/>
    <xf numFmtId="0" fontId="1" fillId="0" borderId="0" xfId="0" applyFont="1"/>
    <xf numFmtId="0" fontId="6" fillId="0" borderId="0" xfId="0" applyFont="1"/>
    <xf numFmtId="0" fontId="7" fillId="0" borderId="0" xfId="0" applyFont="1"/>
    <xf numFmtId="0" fontId="14" fillId="0" borderId="0" xfId="0" applyFont="1"/>
    <xf numFmtId="0" fontId="15" fillId="0" borderId="0" xfId="0" applyFont="1"/>
    <xf numFmtId="164" fontId="13" fillId="0" borderId="1" xfId="0" applyNumberFormat="1" applyFont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left" vertical="center"/>
    </xf>
    <xf numFmtId="164" fontId="18" fillId="0" borderId="1" xfId="0" applyNumberFormat="1" applyFont="1" applyBorder="1" applyAlignment="1">
      <alignment horizontal="center" vertical="center"/>
    </xf>
    <xf numFmtId="164" fontId="10" fillId="3" borderId="4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FFFF0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F1F3A"/>
      <rgbColor rgb="FF339966"/>
      <rgbColor rgb="FF003300"/>
      <rgbColor rgb="FF333300"/>
      <rgbColor rgb="FF993300"/>
      <rgbColor rgb="FF993366"/>
      <rgbColor rgb="FF4755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C2626"/>
  </sheetPr>
  <dimension ref="A1:D27"/>
  <sheetViews>
    <sheetView zoomScaleNormal="100" workbookViewId="0">
      <selection sqref="A1:D1"/>
    </sheetView>
    <sheetView workbookViewId="1">
      <selection sqref="A1:D1"/>
    </sheetView>
  </sheetViews>
  <sheetFormatPr defaultColWidth="8.7109375" defaultRowHeight="15" x14ac:dyDescent="0.25"/>
  <cols>
    <col min="1" max="1" width="30" customWidth="1"/>
    <col min="2" max="2" width="70" customWidth="1"/>
  </cols>
  <sheetData>
    <row r="1" spans="1:4" ht="19.5" customHeight="1" x14ac:dyDescent="0.3">
      <c r="A1" s="25" t="s">
        <v>0</v>
      </c>
      <c r="B1" s="25"/>
      <c r="C1" s="25"/>
      <c r="D1" s="25"/>
    </row>
    <row r="3" spans="1:4" ht="15" customHeight="1" x14ac:dyDescent="0.25">
      <c r="B3" s="1"/>
    </row>
    <row r="4" spans="1:4" ht="15" customHeight="1" x14ac:dyDescent="0.25">
      <c r="A4" s="2" t="s">
        <v>1</v>
      </c>
    </row>
    <row r="5" spans="1:4" ht="15" customHeight="1" x14ac:dyDescent="0.25">
      <c r="B5" s="1"/>
    </row>
    <row r="6" spans="1:4" ht="15" customHeight="1" x14ac:dyDescent="0.25">
      <c r="A6" s="3" t="s">
        <v>2</v>
      </c>
      <c r="B6" s="4" t="s">
        <v>3</v>
      </c>
    </row>
    <row r="7" spans="1:4" ht="15" customHeight="1" x14ac:dyDescent="0.25">
      <c r="B7" s="1" t="s">
        <v>4</v>
      </c>
    </row>
    <row r="8" spans="1:4" ht="15" customHeight="1" x14ac:dyDescent="0.25">
      <c r="B8" s="1"/>
    </row>
    <row r="9" spans="1:4" ht="15" customHeight="1" x14ac:dyDescent="0.25">
      <c r="A9" s="3" t="s">
        <v>5</v>
      </c>
      <c r="B9" s="4" t="s">
        <v>6</v>
      </c>
    </row>
    <row r="10" spans="1:4" ht="15" customHeight="1" x14ac:dyDescent="0.25">
      <c r="B10" s="1" t="s">
        <v>7</v>
      </c>
    </row>
    <row r="11" spans="1:4" ht="15" customHeight="1" x14ac:dyDescent="0.25">
      <c r="B11" s="1"/>
    </row>
    <row r="12" spans="1:4" ht="15" customHeight="1" x14ac:dyDescent="0.25">
      <c r="A12" s="3" t="s">
        <v>8</v>
      </c>
      <c r="B12" s="4" t="s">
        <v>9</v>
      </c>
    </row>
    <row r="13" spans="1:4" ht="15" customHeight="1" x14ac:dyDescent="0.25">
      <c r="B13" s="1"/>
    </row>
    <row r="14" spans="1:4" ht="15" customHeight="1" x14ac:dyDescent="0.25">
      <c r="A14" s="3" t="s">
        <v>10</v>
      </c>
      <c r="B14" s="4" t="s">
        <v>11</v>
      </c>
    </row>
    <row r="15" spans="1:4" ht="15" customHeight="1" x14ac:dyDescent="0.25">
      <c r="B15" s="1"/>
    </row>
    <row r="16" spans="1:4" ht="15" customHeight="1" x14ac:dyDescent="0.25">
      <c r="A16" s="3" t="s">
        <v>12</v>
      </c>
      <c r="B16" s="4" t="s">
        <v>13</v>
      </c>
    </row>
    <row r="17" spans="1:2" ht="15" customHeight="1" x14ac:dyDescent="0.25">
      <c r="B17" s="1"/>
    </row>
    <row r="18" spans="1:2" ht="15" customHeight="1" x14ac:dyDescent="0.25">
      <c r="A18" s="2" t="s">
        <v>14</v>
      </c>
      <c r="B18" t="s">
        <v>15</v>
      </c>
    </row>
    <row r="19" spans="1:2" ht="15" customHeight="1" x14ac:dyDescent="0.25">
      <c r="A19" s="3" t="s">
        <v>16</v>
      </c>
      <c r="B19" s="4" t="s">
        <v>17</v>
      </c>
    </row>
    <row r="20" spans="1:2" ht="15" customHeight="1" x14ac:dyDescent="0.25">
      <c r="A20" s="3" t="s">
        <v>18</v>
      </c>
      <c r="B20" s="4" t="s">
        <v>19</v>
      </c>
    </row>
    <row r="21" spans="1:2" ht="15" customHeight="1" x14ac:dyDescent="0.25">
      <c r="A21" s="3" t="s">
        <v>20</v>
      </c>
      <c r="B21" s="4" t="s">
        <v>21</v>
      </c>
    </row>
    <row r="22" spans="1:2" ht="15" customHeight="1" x14ac:dyDescent="0.25">
      <c r="B22" s="1"/>
    </row>
    <row r="23" spans="1:2" ht="15" customHeight="1" x14ac:dyDescent="0.25">
      <c r="A23" s="3" t="s">
        <v>22</v>
      </c>
      <c r="B23" s="4" t="s">
        <v>23</v>
      </c>
    </row>
    <row r="24" spans="1:2" ht="15" customHeight="1" x14ac:dyDescent="0.25">
      <c r="B24" s="1" t="s">
        <v>24</v>
      </c>
    </row>
    <row r="25" spans="1:2" ht="15" customHeight="1" x14ac:dyDescent="0.25">
      <c r="B25" s="1"/>
    </row>
    <row r="26" spans="1:2" ht="15" customHeight="1" x14ac:dyDescent="0.25">
      <c r="A26" s="3" t="s">
        <v>14</v>
      </c>
      <c r="B26" s="4" t="s">
        <v>25</v>
      </c>
    </row>
    <row r="27" spans="1:2" ht="15" customHeight="1" x14ac:dyDescent="0.25">
      <c r="B27" s="1" t="s">
        <v>26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1F3A"/>
  </sheetPr>
  <dimension ref="A1:N48"/>
  <sheetViews>
    <sheetView zoomScaleNormal="100" workbookViewId="0">
      <pane ySplit="4" topLeftCell="A20" activePane="bottomLeft" state="frozen"/>
      <selection pane="bottomLeft" activeCell="I37" sqref="I37:I46"/>
    </sheetView>
    <sheetView tabSelected="1" topLeftCell="A24" workbookViewId="1">
      <selection activeCell="I45" sqref="I45"/>
    </sheetView>
  </sheetViews>
  <sheetFormatPr defaultColWidth="8.7109375" defaultRowHeight="15" x14ac:dyDescent="0.25"/>
  <cols>
    <col min="1" max="1" width="32" customWidth="1"/>
    <col min="2" max="3" width="10" customWidth="1"/>
    <col min="4" max="4" width="12" customWidth="1"/>
    <col min="5" max="5" width="23.28515625" bestFit="1" customWidth="1"/>
    <col min="6" max="6" width="22" customWidth="1"/>
    <col min="7" max="7" width="25" customWidth="1"/>
    <col min="11" max="11" width="10.140625" bestFit="1" customWidth="1"/>
  </cols>
  <sheetData>
    <row r="1" spans="1:14" ht="17.25" customHeight="1" x14ac:dyDescent="0.25">
      <c r="A1" s="26" t="s">
        <v>27</v>
      </c>
      <c r="B1" s="26"/>
      <c r="C1" s="26"/>
      <c r="D1" s="26"/>
      <c r="E1" s="26"/>
      <c r="F1" s="26"/>
    </row>
    <row r="2" spans="1:14" ht="15" customHeight="1" x14ac:dyDescent="0.25">
      <c r="A2" s="27" t="s">
        <v>28</v>
      </c>
      <c r="B2" s="27"/>
      <c r="C2" s="27"/>
      <c r="D2" s="27"/>
      <c r="E2" s="27"/>
      <c r="F2" s="27"/>
    </row>
    <row r="4" spans="1:14" ht="15" customHeight="1" x14ac:dyDescent="0.25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</row>
    <row r="5" spans="1:14" ht="15" customHeight="1" x14ac:dyDescent="0.25">
      <c r="A5" s="8" t="s">
        <v>36</v>
      </c>
      <c r="B5" s="8" t="s">
        <v>37</v>
      </c>
      <c r="C5" s="8" t="s">
        <v>38</v>
      </c>
      <c r="D5" s="9" t="s">
        <v>39</v>
      </c>
      <c r="E5" s="10">
        <v>1734334</v>
      </c>
      <c r="F5" s="11">
        <f>IF(E5="","",E5*1.3699)</f>
        <v>2375864.1465999996</v>
      </c>
      <c r="G5" s="12"/>
    </row>
    <row r="6" spans="1:14" ht="15" customHeight="1" x14ac:dyDescent="0.25">
      <c r="A6" s="8" t="s">
        <v>40</v>
      </c>
      <c r="B6" s="8" t="s">
        <v>37</v>
      </c>
      <c r="C6" s="8" t="s">
        <v>38</v>
      </c>
      <c r="D6" s="9" t="s">
        <v>39</v>
      </c>
      <c r="E6" s="10">
        <v>1168073</v>
      </c>
      <c r="F6" s="11">
        <f>IF(E6="","",E6*1.3699)</f>
        <v>1600143.2026999998</v>
      </c>
      <c r="G6" s="12"/>
    </row>
    <row r="7" spans="1:14" ht="15" customHeight="1" x14ac:dyDescent="0.25">
      <c r="A7" s="37" t="s">
        <v>41</v>
      </c>
      <c r="B7" s="37" t="s">
        <v>37</v>
      </c>
      <c r="C7" s="37" t="s">
        <v>38</v>
      </c>
      <c r="D7" s="38" t="s">
        <v>39</v>
      </c>
      <c r="E7" s="10"/>
      <c r="F7" s="11" t="str">
        <f>IF(E7="","",E7*1.3699)</f>
        <v/>
      </c>
      <c r="G7" s="12"/>
    </row>
    <row r="8" spans="1:14" ht="15" customHeight="1" x14ac:dyDescent="0.25">
      <c r="A8" s="8" t="s">
        <v>42</v>
      </c>
      <c r="B8" s="8" t="s">
        <v>37</v>
      </c>
      <c r="C8" s="8" t="s">
        <v>38</v>
      </c>
      <c r="D8" s="9" t="s">
        <v>39</v>
      </c>
      <c r="E8" s="10">
        <v>1003929.5</v>
      </c>
      <c r="F8" s="11">
        <f>IF(E8="","",E8*1.3699)</f>
        <v>1375283.0220499998</v>
      </c>
      <c r="G8" s="12"/>
    </row>
    <row r="9" spans="1:14" ht="15" customHeight="1" x14ac:dyDescent="0.25">
      <c r="A9" s="8" t="s">
        <v>43</v>
      </c>
      <c r="B9" s="8" t="s">
        <v>37</v>
      </c>
      <c r="C9" s="8" t="s">
        <v>38</v>
      </c>
      <c r="D9" s="9" t="s">
        <v>39</v>
      </c>
      <c r="E9" s="10">
        <v>1236510.5</v>
      </c>
      <c r="F9" s="11">
        <f>IF(E9="","",E9*1.3699)</f>
        <v>1693895.7339499998</v>
      </c>
      <c r="G9" s="12"/>
    </row>
    <row r="10" spans="1:14" ht="15" customHeight="1" x14ac:dyDescent="0.25">
      <c r="A10" s="8" t="s">
        <v>44</v>
      </c>
      <c r="B10" s="8" t="s">
        <v>37</v>
      </c>
      <c r="C10" s="8" t="s">
        <v>38</v>
      </c>
      <c r="D10" s="9" t="s">
        <v>39</v>
      </c>
      <c r="E10" s="10">
        <v>5510478</v>
      </c>
      <c r="F10" s="11">
        <f>IF(E10="","",E10*1.3699)</f>
        <v>7548803.8121999996</v>
      </c>
      <c r="G10" s="12"/>
    </row>
    <row r="11" spans="1:14" ht="15" customHeight="1" x14ac:dyDescent="0.25">
      <c r="A11" s="8" t="s">
        <v>45</v>
      </c>
      <c r="B11" s="8" t="s">
        <v>37</v>
      </c>
      <c r="C11" s="8" t="s">
        <v>38</v>
      </c>
      <c r="D11" s="9" t="s">
        <v>39</v>
      </c>
      <c r="E11" s="10">
        <v>2307405.5</v>
      </c>
      <c r="F11" s="11">
        <f>IF(E11="","",E11*1.3699)</f>
        <v>3160914.7944499999</v>
      </c>
      <c r="G11" s="12"/>
    </row>
    <row r="12" spans="1:14" ht="15" customHeight="1" x14ac:dyDescent="0.25">
      <c r="A12" s="8" t="s">
        <v>46</v>
      </c>
      <c r="B12" s="8" t="s">
        <v>37</v>
      </c>
      <c r="C12" s="8" t="s">
        <v>38</v>
      </c>
      <c r="D12" s="9" t="s">
        <v>39</v>
      </c>
      <c r="E12" s="10">
        <v>1795191.18</v>
      </c>
      <c r="F12" s="11">
        <f>IF(E12="","",E12*1.3699)</f>
        <v>2459232.3974819998</v>
      </c>
      <c r="G12" s="12"/>
    </row>
    <row r="13" spans="1:14" ht="15" customHeight="1" x14ac:dyDescent="0.25">
      <c r="A13" s="40" t="s">
        <v>47</v>
      </c>
      <c r="B13" s="40" t="s">
        <v>37</v>
      </c>
      <c r="C13" s="40" t="s">
        <v>38</v>
      </c>
      <c r="D13" s="41" t="s">
        <v>53</v>
      </c>
      <c r="E13" s="10">
        <v>750000</v>
      </c>
      <c r="F13" s="11">
        <f>IF(E13="","",E13*1.3699)</f>
        <v>1027424.9999999999</v>
      </c>
      <c r="G13" s="12"/>
    </row>
    <row r="14" spans="1:14" ht="15" customHeight="1" x14ac:dyDescent="0.25">
      <c r="A14" s="8" t="s">
        <v>48</v>
      </c>
      <c r="B14" s="8" t="s">
        <v>37</v>
      </c>
      <c r="C14" s="8" t="s">
        <v>38</v>
      </c>
      <c r="D14" s="9" t="s">
        <v>39</v>
      </c>
      <c r="E14" s="10">
        <v>1516940</v>
      </c>
      <c r="F14" s="11">
        <f>IF(E14="","",E14*1.3699)</f>
        <v>2078056.1059999999</v>
      </c>
      <c r="G14" s="12"/>
    </row>
    <row r="15" spans="1:14" ht="15" customHeight="1" x14ac:dyDescent="0.25">
      <c r="A15" s="8" t="s">
        <v>49</v>
      </c>
      <c r="B15" s="8" t="s">
        <v>37</v>
      </c>
      <c r="C15" s="8" t="s">
        <v>38</v>
      </c>
      <c r="D15" s="9" t="s">
        <v>39</v>
      </c>
      <c r="E15" s="10">
        <v>809752.5</v>
      </c>
      <c r="F15" s="11">
        <f>IF(E15="","",E15*1.3699)</f>
        <v>1109279.9497499999</v>
      </c>
      <c r="G15" s="12"/>
      <c r="L15">
        <f>L16*1.5</f>
        <v>155662.5</v>
      </c>
    </row>
    <row r="16" spans="1:14" ht="15" customHeight="1" x14ac:dyDescent="0.25">
      <c r="A16" s="40" t="s">
        <v>50</v>
      </c>
      <c r="B16" s="40" t="s">
        <v>37</v>
      </c>
      <c r="C16" s="40" t="s">
        <v>38</v>
      </c>
      <c r="D16" s="41" t="s">
        <v>53</v>
      </c>
      <c r="E16" s="10">
        <v>750000</v>
      </c>
      <c r="F16" s="11">
        <f>IF(E16="","",E16*1.3699)</f>
        <v>1027424.9999999999</v>
      </c>
      <c r="G16" s="12"/>
      <c r="K16">
        <v>830200</v>
      </c>
      <c r="L16">
        <f>K16/8</f>
        <v>103775</v>
      </c>
      <c r="M16">
        <f>L16/2</f>
        <v>51887.5</v>
      </c>
      <c r="N16">
        <f>M16*2</f>
        <v>103775</v>
      </c>
    </row>
    <row r="17" spans="1:13" ht="15" customHeight="1" x14ac:dyDescent="0.25">
      <c r="A17" s="37" t="s">
        <v>54</v>
      </c>
      <c r="B17" s="37" t="s">
        <v>51</v>
      </c>
      <c r="C17" s="37" t="s">
        <v>52</v>
      </c>
      <c r="D17" s="38" t="s">
        <v>39</v>
      </c>
      <c r="E17" s="10"/>
      <c r="F17" s="11" t="str">
        <f>IF(E17="","",E17*1.3699)</f>
        <v/>
      </c>
      <c r="G17" s="12"/>
      <c r="L17">
        <f>L15*4</f>
        <v>622650</v>
      </c>
      <c r="M17">
        <f>M16*4</f>
        <v>207550</v>
      </c>
    </row>
    <row r="18" spans="1:13" ht="15" customHeight="1" x14ac:dyDescent="0.25">
      <c r="A18" s="40" t="s">
        <v>55</v>
      </c>
      <c r="B18" s="40" t="s">
        <v>37</v>
      </c>
      <c r="C18" s="40" t="s">
        <v>38</v>
      </c>
      <c r="D18" s="41" t="s">
        <v>53</v>
      </c>
      <c r="E18" s="10">
        <v>750000</v>
      </c>
      <c r="F18" s="11">
        <f>IF(E18="","",E18*1.3699)</f>
        <v>1027424.9999999999</v>
      </c>
      <c r="G18" s="12"/>
    </row>
    <row r="19" spans="1:13" ht="15" customHeight="1" x14ac:dyDescent="0.25">
      <c r="A19" s="8" t="s">
        <v>56</v>
      </c>
      <c r="B19" s="8" t="s">
        <v>51</v>
      </c>
      <c r="C19" s="8" t="s">
        <v>52</v>
      </c>
      <c r="D19" s="9" t="s">
        <v>39</v>
      </c>
      <c r="E19" s="10">
        <v>218738.09</v>
      </c>
      <c r="F19" s="11">
        <f>IF(E19="","",E19*1.3699)</f>
        <v>299649.30949099996</v>
      </c>
      <c r="G19" s="12"/>
      <c r="L19">
        <f>L17+M17</f>
        <v>830200</v>
      </c>
    </row>
    <row r="20" spans="1:13" ht="15" customHeight="1" x14ac:dyDescent="0.25">
      <c r="A20" s="40" t="s">
        <v>57</v>
      </c>
      <c r="B20" s="40" t="s">
        <v>51</v>
      </c>
      <c r="C20" s="40" t="s">
        <v>52</v>
      </c>
      <c r="D20" s="41" t="s">
        <v>53</v>
      </c>
      <c r="E20" s="10">
        <v>1000000</v>
      </c>
      <c r="F20" s="11">
        <f>IF(E20="","",E20*1.3699)</f>
        <v>1369900</v>
      </c>
      <c r="G20" s="12"/>
    </row>
    <row r="21" spans="1:13" ht="15" customHeight="1" x14ac:dyDescent="0.25">
      <c r="A21" s="8" t="s">
        <v>58</v>
      </c>
      <c r="B21" s="8" t="s">
        <v>51</v>
      </c>
      <c r="C21" s="8" t="s">
        <v>52</v>
      </c>
      <c r="D21" s="9" t="s">
        <v>39</v>
      </c>
      <c r="E21" s="10">
        <v>9049259</v>
      </c>
      <c r="F21" s="11">
        <f>IF(E21="","",E21*1.3699)</f>
        <v>12396579.904099999</v>
      </c>
      <c r="G21" s="12"/>
      <c r="K21" s="42"/>
    </row>
    <row r="22" spans="1:13" ht="15" customHeight="1" x14ac:dyDescent="0.25">
      <c r="A22" s="40" t="s">
        <v>59</v>
      </c>
      <c r="B22" s="40" t="s">
        <v>51</v>
      </c>
      <c r="C22" s="40" t="s">
        <v>52</v>
      </c>
      <c r="D22" s="41" t="s">
        <v>53</v>
      </c>
      <c r="E22" s="10">
        <v>1000000</v>
      </c>
      <c r="F22" s="11">
        <f>IF(E22="","",E22*1.3699)</f>
        <v>1369900</v>
      </c>
      <c r="G22" s="12"/>
    </row>
    <row r="23" spans="1:13" ht="15" customHeight="1" x14ac:dyDescent="0.25">
      <c r="A23" s="40" t="s">
        <v>60</v>
      </c>
      <c r="B23" s="40" t="s">
        <v>51</v>
      </c>
      <c r="C23" s="40" t="s">
        <v>52</v>
      </c>
      <c r="D23" s="41" t="s">
        <v>53</v>
      </c>
      <c r="E23" s="10">
        <v>1000000</v>
      </c>
      <c r="F23" s="11">
        <f>IF(E23="","",E23*1.3699)</f>
        <v>1369900</v>
      </c>
      <c r="G23" s="12"/>
    </row>
    <row r="24" spans="1:13" ht="15" customHeight="1" x14ac:dyDescent="0.25">
      <c r="A24" s="8" t="s">
        <v>61</v>
      </c>
      <c r="B24" s="8" t="s">
        <v>51</v>
      </c>
      <c r="C24" s="8" t="s">
        <v>52</v>
      </c>
      <c r="D24" s="9" t="s">
        <v>39</v>
      </c>
      <c r="E24" s="10">
        <v>1742900</v>
      </c>
      <c r="F24" s="11">
        <f>IF(E24="","",E24*1.3699)</f>
        <v>2387598.71</v>
      </c>
      <c r="G24" s="12"/>
    </row>
    <row r="25" spans="1:13" ht="15" customHeight="1" x14ac:dyDescent="0.25">
      <c r="A25" s="37" t="s">
        <v>62</v>
      </c>
      <c r="B25" s="37" t="s">
        <v>51</v>
      </c>
      <c r="C25" s="37" t="s">
        <v>52</v>
      </c>
      <c r="D25" s="38" t="s">
        <v>63</v>
      </c>
      <c r="E25" s="10"/>
      <c r="F25" s="11" t="str">
        <f>IF(E25="","",E25*1.3699)</f>
        <v/>
      </c>
      <c r="G25" s="12"/>
    </row>
    <row r="26" spans="1:13" ht="15" customHeight="1" x14ac:dyDescent="0.25">
      <c r="A26" s="40" t="s">
        <v>64</v>
      </c>
      <c r="B26" s="40" t="s">
        <v>37</v>
      </c>
      <c r="C26" s="40" t="s">
        <v>38</v>
      </c>
      <c r="D26" s="41" t="s">
        <v>53</v>
      </c>
      <c r="E26" s="10">
        <v>750000</v>
      </c>
      <c r="F26" s="11">
        <f>IF(E26="","",E26*1.3699)</f>
        <v>1027424.9999999999</v>
      </c>
      <c r="G26" s="12"/>
    </row>
    <row r="27" spans="1:13" ht="15" customHeight="1" x14ac:dyDescent="0.25">
      <c r="A27" s="8" t="s">
        <v>65</v>
      </c>
      <c r="B27" s="8" t="s">
        <v>51</v>
      </c>
      <c r="C27" s="8" t="s">
        <v>52</v>
      </c>
      <c r="D27" s="9" t="s">
        <v>39</v>
      </c>
      <c r="E27" s="10">
        <v>1526577</v>
      </c>
      <c r="F27" s="11">
        <f>IF(E27="","",E27*1.3699)</f>
        <v>2091257.8322999999</v>
      </c>
      <c r="G27" s="12"/>
    </row>
    <row r="28" spans="1:13" ht="15" customHeight="1" x14ac:dyDescent="0.25">
      <c r="A28" s="8" t="s">
        <v>66</v>
      </c>
      <c r="B28" s="8" t="s">
        <v>51</v>
      </c>
      <c r="C28" s="8" t="s">
        <v>52</v>
      </c>
      <c r="D28" s="9" t="s">
        <v>39</v>
      </c>
      <c r="E28" s="10">
        <v>309118.55</v>
      </c>
      <c r="F28" s="11">
        <f>IF(E28="","",E28*1.3699)</f>
        <v>423461.50164499995</v>
      </c>
      <c r="G28" s="12"/>
    </row>
    <row r="29" spans="1:13" ht="15" customHeight="1" x14ac:dyDescent="0.25">
      <c r="A29" s="8" t="s">
        <v>67</v>
      </c>
      <c r="B29" s="8" t="s">
        <v>51</v>
      </c>
      <c r="C29" s="8" t="s">
        <v>52</v>
      </c>
      <c r="D29" s="9" t="s">
        <v>39</v>
      </c>
      <c r="E29" s="10">
        <v>1805680.19</v>
      </c>
      <c r="F29" s="11">
        <f>IF(E29="","",E29*1.3699)</f>
        <v>2473601.2922809999</v>
      </c>
      <c r="G29" s="12"/>
    </row>
    <row r="30" spans="1:13" ht="15" customHeight="1" x14ac:dyDescent="0.25">
      <c r="A30" s="8" t="s">
        <v>68</v>
      </c>
      <c r="B30" s="8" t="s">
        <v>69</v>
      </c>
      <c r="C30" s="8" t="s">
        <v>69</v>
      </c>
      <c r="D30" s="9" t="s">
        <v>39</v>
      </c>
      <c r="E30" s="10">
        <v>830200</v>
      </c>
      <c r="F30" s="11">
        <f>IF(E30="","",E30*1.3699)</f>
        <v>1137290.98</v>
      </c>
      <c r="G30" s="12"/>
    </row>
    <row r="31" spans="1:13" ht="15" customHeight="1" x14ac:dyDescent="0.25">
      <c r="A31" s="8" t="s">
        <v>70</v>
      </c>
      <c r="B31" s="8" t="s">
        <v>69</v>
      </c>
      <c r="C31" s="8" t="s">
        <v>69</v>
      </c>
      <c r="D31" s="9" t="s">
        <v>39</v>
      </c>
      <c r="E31" s="10">
        <v>830200</v>
      </c>
      <c r="F31" s="11">
        <f>IF(E31="","",E31*1.3699)</f>
        <v>1137290.98</v>
      </c>
      <c r="G31" s="12"/>
    </row>
    <row r="32" spans="1:13" ht="15" customHeight="1" x14ac:dyDescent="0.25">
      <c r="A32" s="8" t="s">
        <v>71</v>
      </c>
      <c r="B32" s="8" t="s">
        <v>69</v>
      </c>
      <c r="C32" s="8" t="s">
        <v>69</v>
      </c>
      <c r="D32" s="9" t="s">
        <v>39</v>
      </c>
      <c r="E32" s="10">
        <v>830200</v>
      </c>
      <c r="F32" s="11">
        <f>IF(E32="","",E32*1.3699)</f>
        <v>1137290.98</v>
      </c>
      <c r="G32" s="12"/>
    </row>
    <row r="33" spans="1:11" ht="15" customHeight="1" x14ac:dyDescent="0.25">
      <c r="A33" s="8" t="s">
        <v>72</v>
      </c>
      <c r="B33" s="8" t="s">
        <v>69</v>
      </c>
      <c r="C33" s="8" t="s">
        <v>69</v>
      </c>
      <c r="D33" s="9" t="s">
        <v>39</v>
      </c>
      <c r="E33" s="10">
        <v>830200</v>
      </c>
      <c r="F33" s="11">
        <f>IF(E33="","",E33*1.3699)</f>
        <v>1137290.98</v>
      </c>
      <c r="G33" s="12"/>
    </row>
    <row r="34" spans="1:11" ht="15" customHeight="1" x14ac:dyDescent="0.25">
      <c r="A34" s="8" t="s">
        <v>73</v>
      </c>
      <c r="B34" s="8" t="s">
        <v>69</v>
      </c>
      <c r="C34" s="8" t="s">
        <v>69</v>
      </c>
      <c r="D34" s="9" t="s">
        <v>39</v>
      </c>
      <c r="E34" s="10">
        <v>830200</v>
      </c>
      <c r="F34" s="11">
        <f>IF(E34="","",E34*1.3699)</f>
        <v>1137290.98</v>
      </c>
      <c r="G34" s="12"/>
    </row>
    <row r="35" spans="1:11" ht="15" customHeight="1" x14ac:dyDescent="0.25">
      <c r="A35" s="8" t="s">
        <v>74</v>
      </c>
      <c r="B35" s="8" t="s">
        <v>69</v>
      </c>
      <c r="C35" s="8" t="s">
        <v>69</v>
      </c>
      <c r="D35" s="9" t="s">
        <v>39</v>
      </c>
      <c r="E35" s="10">
        <v>830200</v>
      </c>
      <c r="F35" s="11">
        <f>IF(E35="","",E35*1.3699)</f>
        <v>1137290.98</v>
      </c>
      <c r="G35" s="12"/>
    </row>
    <row r="36" spans="1:11" ht="15" customHeight="1" x14ac:dyDescent="0.25">
      <c r="A36" s="8" t="s">
        <v>75</v>
      </c>
      <c r="B36" s="8" t="s">
        <v>69</v>
      </c>
      <c r="C36" s="8" t="s">
        <v>69</v>
      </c>
      <c r="D36" s="9" t="s">
        <v>39</v>
      </c>
      <c r="E36" s="10">
        <v>830200</v>
      </c>
      <c r="F36" s="11">
        <f>IF(E36="","",E36*1.3699)</f>
        <v>1137290.98</v>
      </c>
      <c r="G36" s="12"/>
    </row>
    <row r="37" spans="1:11" ht="15" customHeight="1" x14ac:dyDescent="0.25">
      <c r="A37" s="8" t="s">
        <v>76</v>
      </c>
      <c r="B37" s="8" t="s">
        <v>69</v>
      </c>
      <c r="C37" s="8" t="s">
        <v>69</v>
      </c>
      <c r="D37" s="9" t="s">
        <v>39</v>
      </c>
      <c r="E37" s="10">
        <v>830200</v>
      </c>
      <c r="F37" s="11">
        <f>IF(E37="","",E37*1.3699)</f>
        <v>1137290.98</v>
      </c>
      <c r="G37" s="12"/>
    </row>
    <row r="38" spans="1:11" ht="15" customHeight="1" x14ac:dyDescent="0.25">
      <c r="A38" s="8" t="s">
        <v>77</v>
      </c>
      <c r="B38" s="13" t="s">
        <v>69</v>
      </c>
      <c r="C38" s="13" t="s">
        <v>69</v>
      </c>
      <c r="D38" s="9" t="s">
        <v>39</v>
      </c>
      <c r="E38" s="10">
        <v>830200</v>
      </c>
      <c r="F38" s="11">
        <f>IF(E38="","",E38*1.3699)</f>
        <v>1137290.98</v>
      </c>
      <c r="G38" s="12"/>
    </row>
    <row r="39" spans="1:11" ht="15" customHeight="1" x14ac:dyDescent="0.25">
      <c r="A39" s="8" t="s">
        <v>139</v>
      </c>
      <c r="B39" s="13" t="s">
        <v>51</v>
      </c>
      <c r="C39" s="13" t="s">
        <v>52</v>
      </c>
      <c r="D39" s="9" t="s">
        <v>138</v>
      </c>
      <c r="E39" s="10">
        <v>1145600</v>
      </c>
      <c r="F39" s="11">
        <f>IF(E39="","",E39*1.3699)</f>
        <v>1569357.44</v>
      </c>
      <c r="G39" s="12"/>
    </row>
    <row r="40" spans="1:11" ht="15" customHeight="1" x14ac:dyDescent="0.25">
      <c r="A40" s="8" t="s">
        <v>140</v>
      </c>
      <c r="B40" s="13" t="s">
        <v>37</v>
      </c>
      <c r="C40" s="13" t="s">
        <v>38</v>
      </c>
      <c r="D40" s="9" t="s">
        <v>138</v>
      </c>
      <c r="E40" s="10">
        <v>1109434.1499999985</v>
      </c>
      <c r="F40" s="11">
        <f>IF(E40="","",E40*1.3699)</f>
        <v>1519813.8420849978</v>
      </c>
      <c r="G40" s="12"/>
      <c r="K40" s="42"/>
    </row>
    <row r="41" spans="1:11" ht="15" customHeight="1" x14ac:dyDescent="0.25">
      <c r="A41" s="8" t="s">
        <v>98</v>
      </c>
      <c r="B41" s="13" t="s">
        <v>98</v>
      </c>
      <c r="C41" s="13"/>
      <c r="D41" s="9" t="s">
        <v>39</v>
      </c>
      <c r="E41" s="10">
        <v>1000000</v>
      </c>
      <c r="F41" s="11">
        <f>IF(E41="","",E41*1.3699)</f>
        <v>1369900</v>
      </c>
      <c r="G41" s="12"/>
    </row>
    <row r="42" spans="1:11" x14ac:dyDescent="0.25">
      <c r="A42" s="14"/>
      <c r="B42" s="14"/>
      <c r="C42" s="14"/>
      <c r="D42" s="14"/>
      <c r="E42" s="14"/>
      <c r="F42" s="14"/>
    </row>
    <row r="43" spans="1:11" ht="15" customHeight="1" x14ac:dyDescent="0.25">
      <c r="A43" s="15" t="s">
        <v>78</v>
      </c>
      <c r="B43" s="16"/>
      <c r="C43" s="16"/>
      <c r="D43" s="17"/>
      <c r="E43" s="18">
        <f>SUM(E5:E41)</f>
        <v>48461721.159999989</v>
      </c>
      <c r="F43" s="18">
        <f>SUM(F5:F40)</f>
        <v>65017811.817083962</v>
      </c>
      <c r="G43" s="12"/>
    </row>
    <row r="44" spans="1:11" ht="15" customHeight="1" x14ac:dyDescent="0.25">
      <c r="A44" s="19"/>
      <c r="B44" s="14"/>
      <c r="C44" s="14"/>
      <c r="D44" s="20"/>
      <c r="E44" s="14"/>
      <c r="F44" s="14"/>
    </row>
    <row r="45" spans="1:11" ht="15" customHeight="1" x14ac:dyDescent="0.25">
      <c r="A45" s="15" t="s">
        <v>79</v>
      </c>
      <c r="B45" s="16"/>
      <c r="C45" s="16"/>
      <c r="D45" s="17"/>
      <c r="E45" s="18">
        <f>SUMIFS(E5:E41,B5:B41,"CAN")</f>
        <v>21192048.329999998</v>
      </c>
      <c r="F45" s="18">
        <f>SUMIFS(F5:F38,B5:B38,"CAN")</f>
        <v>27511173.165181998</v>
      </c>
      <c r="G45" s="12"/>
    </row>
    <row r="46" spans="1:11" x14ac:dyDescent="0.25">
      <c r="A46" s="21" t="s">
        <v>80</v>
      </c>
      <c r="B46" s="12"/>
      <c r="C46" s="12"/>
      <c r="D46" s="12"/>
      <c r="E46" s="18">
        <f>SUMIFS(E5:E41,B5:B41,"USA")</f>
        <v>18797872.830000002</v>
      </c>
      <c r="F46" s="18">
        <f>SUMIFS(F5:F38,B5:B38,"USA")</f>
        <v>24181848.549816996</v>
      </c>
      <c r="G46" s="12"/>
    </row>
    <row r="47" spans="1:11" x14ac:dyDescent="0.25">
      <c r="A47" s="21" t="s">
        <v>81</v>
      </c>
      <c r="B47" s="12"/>
      <c r="C47" s="12"/>
      <c r="D47" s="12"/>
      <c r="E47" s="18">
        <f>SUMIFS(E5:E38,B5:B38,"EU")</f>
        <v>7471800</v>
      </c>
      <c r="F47" s="18">
        <f>SUMIFS(F5:F38,B5:B38,"EU")</f>
        <v>10235618.820000002</v>
      </c>
      <c r="G47" s="12"/>
    </row>
    <row r="48" spans="1:11" x14ac:dyDescent="0.25">
      <c r="A48" s="21" t="s">
        <v>82</v>
      </c>
      <c r="B48" s="12"/>
      <c r="C48" s="12"/>
      <c r="D48" s="12"/>
      <c r="E48" s="18">
        <f>SUMIFS(E5:E41,B5:B41,"ROW")</f>
        <v>1000000</v>
      </c>
      <c r="F48" s="18">
        <f>SUMIFS(F5:F41,B5:B41,"ROW")</f>
        <v>1369900</v>
      </c>
      <c r="G48" s="12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K43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31" sqref="G31"/>
    </sheetView>
    <sheetView workbookViewId="1">
      <selection sqref="A1:K1"/>
    </sheetView>
  </sheetViews>
  <sheetFormatPr defaultColWidth="8.7109375" defaultRowHeight="15" x14ac:dyDescent="0.25"/>
  <cols>
    <col min="1" max="1" width="37" bestFit="1" customWidth="1"/>
    <col min="2" max="11" width="18" customWidth="1"/>
  </cols>
  <sheetData>
    <row r="1" spans="1:11" ht="17.25" customHeight="1" x14ac:dyDescent="0.25">
      <c r="A1" s="28" t="s">
        <v>83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5" customHeight="1" x14ac:dyDescent="0.25">
      <c r="A2" s="29" t="s">
        <v>84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1" ht="15" customHeight="1" x14ac:dyDescent="0.25">
      <c r="A4" s="7" t="s">
        <v>29</v>
      </c>
      <c r="B4" s="7" t="s">
        <v>85</v>
      </c>
      <c r="C4" s="7" t="s">
        <v>128</v>
      </c>
      <c r="D4" s="7" t="s">
        <v>129</v>
      </c>
      <c r="E4" s="7" t="s">
        <v>130</v>
      </c>
      <c r="F4" s="7" t="s">
        <v>86</v>
      </c>
      <c r="G4" s="7" t="s">
        <v>87</v>
      </c>
      <c r="H4" s="7" t="s">
        <v>88</v>
      </c>
      <c r="I4" s="7" t="s">
        <v>89</v>
      </c>
      <c r="J4" s="7" t="s">
        <v>90</v>
      </c>
      <c r="K4" s="7" t="s">
        <v>91</v>
      </c>
    </row>
    <row r="5" spans="1:11" ht="15" customHeight="1" x14ac:dyDescent="0.25">
      <c r="A5" s="8" t="s">
        <v>36</v>
      </c>
      <c r="B5" s="10">
        <v>639115</v>
      </c>
      <c r="C5" s="10">
        <v>23761.5</v>
      </c>
      <c r="D5" s="10">
        <v>32485</v>
      </c>
      <c r="E5" s="10">
        <v>75726.55</v>
      </c>
      <c r="F5" s="10">
        <v>173740</v>
      </c>
      <c r="G5" s="10">
        <v>250400.95</v>
      </c>
      <c r="H5" s="10">
        <v>261705</v>
      </c>
      <c r="I5" s="10">
        <v>277400</v>
      </c>
      <c r="J5" s="9">
        <f t="shared" ref="J5:J38" si="0">SUM(B5:I5)</f>
        <v>1734334</v>
      </c>
      <c r="K5" s="22">
        <f>'BY REP'!E5</f>
        <v>1734334</v>
      </c>
    </row>
    <row r="6" spans="1:11" ht="15" customHeight="1" x14ac:dyDescent="0.25">
      <c r="A6" s="8" t="s">
        <v>40</v>
      </c>
      <c r="B6" s="10">
        <v>473405</v>
      </c>
      <c r="C6" s="10">
        <v>34310</v>
      </c>
      <c r="D6" s="10">
        <v>24528</v>
      </c>
      <c r="E6" s="10">
        <v>92710</v>
      </c>
      <c r="F6" s="10">
        <v>85045</v>
      </c>
      <c r="G6" s="10">
        <v>199655</v>
      </c>
      <c r="H6" s="10">
        <v>98550</v>
      </c>
      <c r="I6" s="10">
        <v>159870</v>
      </c>
      <c r="J6" s="9">
        <f t="shared" si="0"/>
        <v>1168073</v>
      </c>
      <c r="K6" s="22">
        <f>'BY REP'!E6</f>
        <v>1168073</v>
      </c>
    </row>
    <row r="7" spans="1:11" ht="15" customHeight="1" x14ac:dyDescent="0.25">
      <c r="A7" s="8" t="s">
        <v>41</v>
      </c>
      <c r="B7" s="10"/>
      <c r="C7" s="10"/>
      <c r="D7" s="10"/>
      <c r="E7" s="10"/>
      <c r="F7" s="10"/>
      <c r="G7" s="10"/>
      <c r="H7" s="10"/>
      <c r="I7" s="10"/>
      <c r="J7" s="9">
        <f t="shared" si="0"/>
        <v>0</v>
      </c>
      <c r="K7" s="22">
        <f>'BY REP'!E7</f>
        <v>0</v>
      </c>
    </row>
    <row r="8" spans="1:11" ht="15" customHeight="1" x14ac:dyDescent="0.25">
      <c r="A8" s="8" t="s">
        <v>42</v>
      </c>
      <c r="B8" s="10">
        <v>495760</v>
      </c>
      <c r="C8" s="10">
        <v>49910</v>
      </c>
      <c r="D8" s="10">
        <v>12410</v>
      </c>
      <c r="E8" s="10">
        <v>86450</v>
      </c>
      <c r="F8" s="10">
        <v>57669.5</v>
      </c>
      <c r="G8" s="10">
        <v>152460</v>
      </c>
      <c r="H8" s="10">
        <v>40880</v>
      </c>
      <c r="I8" s="10">
        <v>108390</v>
      </c>
      <c r="J8" s="9">
        <f t="shared" si="0"/>
        <v>1003929.5</v>
      </c>
      <c r="K8" s="22">
        <f>'BY REP'!E8</f>
        <v>1003929.5</v>
      </c>
    </row>
    <row r="9" spans="1:11" ht="15" customHeight="1" x14ac:dyDescent="0.25">
      <c r="A9" s="8" t="s">
        <v>43</v>
      </c>
      <c r="B9" s="10">
        <v>368650</v>
      </c>
      <c r="C9" s="10">
        <v>21827</v>
      </c>
      <c r="D9" s="10">
        <v>9964.5</v>
      </c>
      <c r="E9" s="10">
        <v>64240</v>
      </c>
      <c r="F9" s="10">
        <v>97309</v>
      </c>
      <c r="G9" s="10">
        <v>182500</v>
      </c>
      <c r="H9" s="10">
        <v>231775</v>
      </c>
      <c r="I9" s="10">
        <v>260245</v>
      </c>
      <c r="J9" s="9">
        <f t="shared" si="0"/>
        <v>1236510.5</v>
      </c>
      <c r="K9" s="22">
        <f>'BY REP'!E9</f>
        <v>1236510.5</v>
      </c>
    </row>
    <row r="10" spans="1:11" ht="15" customHeight="1" x14ac:dyDescent="0.25">
      <c r="A10" s="8" t="s">
        <v>44</v>
      </c>
      <c r="B10" s="10">
        <v>3538018</v>
      </c>
      <c r="C10" s="10">
        <v>185055</v>
      </c>
      <c r="D10" s="10">
        <v>27375</v>
      </c>
      <c r="E10" s="10">
        <v>615755</v>
      </c>
      <c r="F10" s="10">
        <v>213525</v>
      </c>
      <c r="G10" s="10">
        <v>335800</v>
      </c>
      <c r="H10" s="10">
        <v>43800</v>
      </c>
      <c r="I10" s="10">
        <v>551150</v>
      </c>
      <c r="J10" s="9">
        <f t="shared" si="0"/>
        <v>5510478</v>
      </c>
      <c r="K10" s="22">
        <f>'BY REP'!E10</f>
        <v>5510478</v>
      </c>
    </row>
    <row r="11" spans="1:11" ht="15" customHeight="1" x14ac:dyDescent="0.25">
      <c r="A11" s="8" t="s">
        <v>45</v>
      </c>
      <c r="B11" s="10">
        <v>813762.5</v>
      </c>
      <c r="C11" s="10">
        <v>40843.5</v>
      </c>
      <c r="D11" s="10">
        <v>61685</v>
      </c>
      <c r="E11" s="10">
        <v>170710.5</v>
      </c>
      <c r="F11" s="10">
        <v>85629</v>
      </c>
      <c r="G11" s="10">
        <v>587285</v>
      </c>
      <c r="H11" s="10">
        <v>176660</v>
      </c>
      <c r="I11" s="10">
        <v>370830</v>
      </c>
      <c r="J11" s="9">
        <f t="shared" si="0"/>
        <v>2307405.5</v>
      </c>
      <c r="K11" s="22">
        <f>'BY REP'!E11</f>
        <v>2307405.5</v>
      </c>
    </row>
    <row r="12" spans="1:11" ht="15" customHeight="1" x14ac:dyDescent="0.25">
      <c r="A12" s="8" t="s">
        <v>46</v>
      </c>
      <c r="B12" s="10">
        <v>728905</v>
      </c>
      <c r="C12" s="10">
        <v>39894.5</v>
      </c>
      <c r="D12" s="10">
        <v>20634.18</v>
      </c>
      <c r="E12" s="10">
        <v>127129.5</v>
      </c>
      <c r="F12" s="10">
        <v>140160</v>
      </c>
      <c r="G12" s="10">
        <v>370219.5</v>
      </c>
      <c r="H12" s="10">
        <v>116800</v>
      </c>
      <c r="I12" s="10">
        <v>251448.5</v>
      </c>
      <c r="J12" s="9">
        <f t="shared" si="0"/>
        <v>1795191.1800000002</v>
      </c>
      <c r="K12" s="22">
        <f>'BY REP'!E12</f>
        <v>1795191.18</v>
      </c>
    </row>
    <row r="13" spans="1:11" ht="15" customHeight="1" x14ac:dyDescent="0.25">
      <c r="A13" s="8" t="s">
        <v>47</v>
      </c>
      <c r="B13" s="10">
        <v>50000</v>
      </c>
      <c r="C13" s="10"/>
      <c r="D13" s="10"/>
      <c r="E13" s="10"/>
      <c r="F13" s="10">
        <v>200000</v>
      </c>
      <c r="G13" s="10"/>
      <c r="H13" s="10">
        <v>500000</v>
      </c>
      <c r="I13" s="10"/>
      <c r="J13" s="9">
        <f t="shared" si="0"/>
        <v>750000</v>
      </c>
      <c r="K13" s="22">
        <f>'BY REP'!E13</f>
        <v>750000</v>
      </c>
    </row>
    <row r="14" spans="1:11" ht="15" customHeight="1" x14ac:dyDescent="0.25">
      <c r="A14" s="8" t="s">
        <v>48</v>
      </c>
      <c r="B14" s="10">
        <v>398653</v>
      </c>
      <c r="C14" s="10">
        <v>32959.5</v>
      </c>
      <c r="D14" s="10">
        <v>15330</v>
      </c>
      <c r="E14" s="10">
        <v>80519</v>
      </c>
      <c r="F14" s="10">
        <v>191771</v>
      </c>
      <c r="G14" s="10">
        <v>253857.5</v>
      </c>
      <c r="H14" s="10">
        <v>332880</v>
      </c>
      <c r="I14" s="10">
        <v>210970</v>
      </c>
      <c r="J14" s="9">
        <f t="shared" si="0"/>
        <v>1516940</v>
      </c>
      <c r="K14" s="22">
        <f>'BY REP'!E14</f>
        <v>1516940</v>
      </c>
    </row>
    <row r="15" spans="1:11" ht="15" customHeight="1" x14ac:dyDescent="0.25">
      <c r="A15" s="8" t="s">
        <v>49</v>
      </c>
      <c r="B15" s="10">
        <v>356605</v>
      </c>
      <c r="C15" s="10">
        <v>13541.5</v>
      </c>
      <c r="D15" s="10">
        <v>15111</v>
      </c>
      <c r="E15" s="10">
        <v>50735</v>
      </c>
      <c r="F15" s="10">
        <v>58035</v>
      </c>
      <c r="G15" s="10">
        <v>146000</v>
      </c>
      <c r="H15" s="10">
        <v>62050</v>
      </c>
      <c r="I15" s="10">
        <v>107675</v>
      </c>
      <c r="J15" s="9">
        <f t="shared" si="0"/>
        <v>809752.5</v>
      </c>
      <c r="K15" s="22">
        <f>'BY REP'!E15</f>
        <v>809752.5</v>
      </c>
    </row>
    <row r="16" spans="1:11" ht="15" customHeight="1" x14ac:dyDescent="0.25">
      <c r="A16" s="8" t="s">
        <v>50</v>
      </c>
      <c r="B16" s="10">
        <v>50000</v>
      </c>
      <c r="C16" s="10"/>
      <c r="D16" s="10"/>
      <c r="E16" s="10"/>
      <c r="F16" s="10">
        <v>200000</v>
      </c>
      <c r="G16" s="10"/>
      <c r="H16" s="10">
        <v>500000</v>
      </c>
      <c r="I16" s="10"/>
      <c r="J16" s="9">
        <f t="shared" si="0"/>
        <v>750000</v>
      </c>
      <c r="K16" s="22">
        <f>'BY REP'!E16</f>
        <v>750000</v>
      </c>
    </row>
    <row r="17" spans="1:11" ht="15" customHeight="1" x14ac:dyDescent="0.25">
      <c r="A17" s="8" t="s">
        <v>54</v>
      </c>
      <c r="B17" s="10"/>
      <c r="C17" s="10"/>
      <c r="D17" s="10"/>
      <c r="E17" s="10"/>
      <c r="F17" s="10"/>
      <c r="G17" s="10"/>
      <c r="H17" s="10"/>
      <c r="I17" s="10"/>
      <c r="J17" s="9">
        <f t="shared" si="0"/>
        <v>0</v>
      </c>
      <c r="K17" s="22">
        <f>'BY REP'!E17</f>
        <v>0</v>
      </c>
    </row>
    <row r="18" spans="1:11" ht="15" customHeight="1" x14ac:dyDescent="0.25">
      <c r="A18" s="8" t="s">
        <v>55</v>
      </c>
      <c r="B18" s="10">
        <v>50000</v>
      </c>
      <c r="C18" s="10"/>
      <c r="D18" s="10"/>
      <c r="E18" s="10"/>
      <c r="F18" s="10">
        <v>200000</v>
      </c>
      <c r="G18" s="10"/>
      <c r="H18" s="10">
        <v>500000</v>
      </c>
      <c r="I18" s="10"/>
      <c r="J18" s="9">
        <f t="shared" si="0"/>
        <v>750000</v>
      </c>
      <c r="K18" s="22">
        <f>'BY REP'!E18</f>
        <v>750000</v>
      </c>
    </row>
    <row r="19" spans="1:11" ht="15" customHeight="1" x14ac:dyDescent="0.25">
      <c r="A19" s="8" t="s">
        <v>56</v>
      </c>
      <c r="B19" s="10">
        <v>67112.61</v>
      </c>
      <c r="C19" s="10">
        <v>1502.6000000000001</v>
      </c>
      <c r="D19" s="10">
        <v>0</v>
      </c>
      <c r="E19" s="10">
        <v>37707.508500000004</v>
      </c>
      <c r="F19" s="10">
        <v>3650</v>
      </c>
      <c r="G19" s="10">
        <v>96467</v>
      </c>
      <c r="H19" s="10">
        <v>0</v>
      </c>
      <c r="I19" s="10">
        <v>12298.05</v>
      </c>
      <c r="J19" s="9">
        <f t="shared" si="0"/>
        <v>218737.76850000001</v>
      </c>
      <c r="K19" s="22">
        <f>'BY REP'!E19</f>
        <v>218738.09</v>
      </c>
    </row>
    <row r="20" spans="1:11" ht="15" customHeight="1" x14ac:dyDescent="0.25">
      <c r="A20" s="8" t="s">
        <v>57</v>
      </c>
      <c r="B20" s="10">
        <v>100000</v>
      </c>
      <c r="C20" s="10"/>
      <c r="D20" s="10"/>
      <c r="E20" s="10"/>
      <c r="F20" s="10">
        <v>300000</v>
      </c>
      <c r="G20" s="10"/>
      <c r="H20" s="10">
        <v>600000</v>
      </c>
      <c r="I20" s="10"/>
      <c r="J20" s="9">
        <f t="shared" si="0"/>
        <v>1000000</v>
      </c>
      <c r="K20" s="22">
        <f>'BY REP'!E20</f>
        <v>1000000</v>
      </c>
    </row>
    <row r="21" spans="1:11" ht="15" customHeight="1" x14ac:dyDescent="0.25">
      <c r="A21" s="8" t="s">
        <v>58</v>
      </c>
      <c r="B21" s="10">
        <v>4696311.5199999996</v>
      </c>
      <c r="C21" s="10">
        <v>60294</v>
      </c>
      <c r="D21" s="10">
        <v>193551</v>
      </c>
      <c r="E21" s="10">
        <v>297478.24000000034</v>
      </c>
      <c r="F21" s="10">
        <v>1363176.34</v>
      </c>
      <c r="G21" s="10">
        <v>207951.2</v>
      </c>
      <c r="H21" s="10">
        <v>846652.9</v>
      </c>
      <c r="I21" s="10">
        <v>1383843.8</v>
      </c>
      <c r="J21" s="9">
        <f t="shared" si="0"/>
        <v>9049259</v>
      </c>
      <c r="K21" s="22">
        <f>'BY REP'!E21</f>
        <v>9049259</v>
      </c>
    </row>
    <row r="22" spans="1:11" ht="15" customHeight="1" x14ac:dyDescent="0.25">
      <c r="A22" s="8" t="s">
        <v>59</v>
      </c>
      <c r="B22" s="10">
        <v>100000</v>
      </c>
      <c r="C22" s="10"/>
      <c r="D22" s="10"/>
      <c r="E22" s="10"/>
      <c r="F22" s="10">
        <v>300000</v>
      </c>
      <c r="G22" s="10"/>
      <c r="H22" s="10">
        <v>600000</v>
      </c>
      <c r="I22" s="10"/>
      <c r="J22" s="9">
        <f t="shared" si="0"/>
        <v>1000000</v>
      </c>
      <c r="K22" s="22">
        <f>'BY REP'!E22</f>
        <v>1000000</v>
      </c>
    </row>
    <row r="23" spans="1:11" ht="15" customHeight="1" x14ac:dyDescent="0.25">
      <c r="A23" s="8" t="s">
        <v>60</v>
      </c>
      <c r="B23" s="10">
        <v>50000</v>
      </c>
      <c r="C23" s="10"/>
      <c r="D23" s="10"/>
      <c r="E23" s="10"/>
      <c r="F23" s="10">
        <v>200000</v>
      </c>
      <c r="G23" s="10"/>
      <c r="H23" s="10">
        <v>500000</v>
      </c>
      <c r="I23" s="10"/>
      <c r="J23" s="9">
        <f t="shared" si="0"/>
        <v>750000</v>
      </c>
      <c r="K23" s="22">
        <f>'BY REP'!E23</f>
        <v>1000000</v>
      </c>
    </row>
    <row r="24" spans="1:11" ht="15" customHeight="1" x14ac:dyDescent="0.25">
      <c r="A24" s="8" t="s">
        <v>61</v>
      </c>
      <c r="B24" s="10">
        <v>658800</v>
      </c>
      <c r="C24" s="10">
        <v>31500</v>
      </c>
      <c r="D24" s="10">
        <v>36650</v>
      </c>
      <c r="E24" s="10">
        <v>201700</v>
      </c>
      <c r="F24" s="10">
        <v>197250</v>
      </c>
      <c r="G24" s="10">
        <v>207700</v>
      </c>
      <c r="H24" s="10">
        <v>274400</v>
      </c>
      <c r="I24" s="10">
        <v>134900</v>
      </c>
      <c r="J24" s="9">
        <f t="shared" si="0"/>
        <v>1742900</v>
      </c>
      <c r="K24" s="22">
        <f>'BY REP'!E24</f>
        <v>1742900</v>
      </c>
    </row>
    <row r="25" spans="1:11" ht="15" customHeight="1" x14ac:dyDescent="0.25">
      <c r="A25" s="8" t="s">
        <v>62</v>
      </c>
      <c r="B25" s="10"/>
      <c r="C25" s="10"/>
      <c r="D25" s="10"/>
      <c r="E25" s="10"/>
      <c r="F25" s="10"/>
      <c r="G25" s="10"/>
      <c r="H25" s="10"/>
      <c r="I25" s="10"/>
      <c r="J25" s="9">
        <f t="shared" si="0"/>
        <v>0</v>
      </c>
      <c r="K25" s="22">
        <f>'BY REP'!E25</f>
        <v>0</v>
      </c>
    </row>
    <row r="26" spans="1:11" ht="15" customHeight="1" x14ac:dyDescent="0.25">
      <c r="A26" s="8" t="s">
        <v>64</v>
      </c>
      <c r="B26" s="10">
        <v>100000</v>
      </c>
      <c r="C26" s="10"/>
      <c r="D26" s="10"/>
      <c r="E26" s="10"/>
      <c r="F26" s="10">
        <v>300000</v>
      </c>
      <c r="G26" s="10"/>
      <c r="H26" s="10">
        <v>600000</v>
      </c>
      <c r="I26" s="10"/>
      <c r="J26" s="9">
        <f t="shared" si="0"/>
        <v>1000000</v>
      </c>
      <c r="K26" s="22">
        <f>'BY REP'!E26</f>
        <v>750000</v>
      </c>
    </row>
    <row r="27" spans="1:11" ht="15" customHeight="1" x14ac:dyDescent="0.25">
      <c r="A27" s="8" t="s">
        <v>65</v>
      </c>
      <c r="B27" s="10">
        <v>586500</v>
      </c>
      <c r="C27" s="10">
        <v>45625</v>
      </c>
      <c r="D27" s="10">
        <v>28450</v>
      </c>
      <c r="E27" s="10">
        <v>151100</v>
      </c>
      <c r="F27" s="10">
        <v>189020</v>
      </c>
      <c r="G27" s="10">
        <v>274532</v>
      </c>
      <c r="H27" s="10">
        <v>136500</v>
      </c>
      <c r="I27" s="10">
        <v>114850</v>
      </c>
      <c r="J27" s="9">
        <f t="shared" si="0"/>
        <v>1526577</v>
      </c>
      <c r="K27" s="22">
        <f>'BY REP'!E27</f>
        <v>1526577</v>
      </c>
    </row>
    <row r="28" spans="1:11" ht="15" customHeight="1" x14ac:dyDescent="0.25">
      <c r="A28" s="8" t="s">
        <v>66</v>
      </c>
      <c r="B28" s="10">
        <v>88599.63</v>
      </c>
      <c r="C28" s="10">
        <v>1121.4000000000001</v>
      </c>
      <c r="D28" s="10">
        <v>3299.9700000000003</v>
      </c>
      <c r="E28" s="10">
        <v>8492.4699999999993</v>
      </c>
      <c r="F28" s="10">
        <v>15555</v>
      </c>
      <c r="G28" s="10">
        <v>4619</v>
      </c>
      <c r="H28" s="10">
        <v>49602</v>
      </c>
      <c r="I28" s="10">
        <v>137829.29999999999</v>
      </c>
      <c r="J28" s="9">
        <f t="shared" si="0"/>
        <v>309118.77</v>
      </c>
      <c r="K28" s="22">
        <f>'BY REP'!E28</f>
        <v>309118.55</v>
      </c>
    </row>
    <row r="29" spans="1:11" ht="15" customHeight="1" x14ac:dyDescent="0.25">
      <c r="A29" s="8" t="s">
        <v>67</v>
      </c>
      <c r="B29" s="10">
        <v>458377.01</v>
      </c>
      <c r="C29" s="10">
        <v>41389.960999999996</v>
      </c>
      <c r="D29" s="10">
        <v>96799.494999999995</v>
      </c>
      <c r="E29" s="10">
        <v>133380.674</v>
      </c>
      <c r="F29" s="10">
        <v>257000</v>
      </c>
      <c r="G29" s="10">
        <v>673233.05</v>
      </c>
      <c r="H29" s="10">
        <v>61500</v>
      </c>
      <c r="I29" s="10">
        <v>84000</v>
      </c>
      <c r="J29" s="9">
        <f t="shared" si="0"/>
        <v>1805680.19</v>
      </c>
      <c r="K29" s="22">
        <f>'BY REP'!E29</f>
        <v>1805680.19</v>
      </c>
    </row>
    <row r="30" spans="1:11" ht="15" customHeight="1" x14ac:dyDescent="0.25">
      <c r="A30" s="8" t="s">
        <v>68</v>
      </c>
      <c r="B30" s="10">
        <v>155662.5</v>
      </c>
      <c r="C30" s="10">
        <v>51887.5</v>
      </c>
      <c r="D30" s="10">
        <v>51887.5</v>
      </c>
      <c r="E30" s="10">
        <v>51887.5</v>
      </c>
      <c r="F30" s="10">
        <v>103775</v>
      </c>
      <c r="G30" s="10">
        <v>155662.5</v>
      </c>
      <c r="H30" s="10">
        <v>103775</v>
      </c>
      <c r="I30" s="10">
        <v>155662.5</v>
      </c>
      <c r="J30" s="9">
        <f t="shared" si="0"/>
        <v>830200</v>
      </c>
      <c r="K30" s="22">
        <f>'BY REP'!E30</f>
        <v>830200</v>
      </c>
    </row>
    <row r="31" spans="1:11" ht="15" customHeight="1" x14ac:dyDescent="0.25">
      <c r="A31" s="8" t="s">
        <v>70</v>
      </c>
      <c r="B31" s="10">
        <v>155662.5</v>
      </c>
      <c r="C31" s="10">
        <v>51887.5</v>
      </c>
      <c r="D31" s="10">
        <v>51887.5</v>
      </c>
      <c r="E31" s="10">
        <v>51887.5</v>
      </c>
      <c r="F31" s="10">
        <v>103775</v>
      </c>
      <c r="G31" s="10">
        <v>155662.5</v>
      </c>
      <c r="H31" s="10">
        <v>103775</v>
      </c>
      <c r="I31" s="10">
        <v>155662.5</v>
      </c>
      <c r="J31" s="9">
        <f t="shared" si="0"/>
        <v>830200</v>
      </c>
      <c r="K31" s="22">
        <f>'BY REP'!E31</f>
        <v>830200</v>
      </c>
    </row>
    <row r="32" spans="1:11" ht="15" customHeight="1" x14ac:dyDescent="0.25">
      <c r="A32" s="8" t="s">
        <v>71</v>
      </c>
      <c r="B32" s="10">
        <v>155662.5</v>
      </c>
      <c r="C32" s="10">
        <v>51887.5</v>
      </c>
      <c r="D32" s="10">
        <v>51887.5</v>
      </c>
      <c r="E32" s="10">
        <v>51887.5</v>
      </c>
      <c r="F32" s="10">
        <v>103775</v>
      </c>
      <c r="G32" s="10">
        <v>155662.5</v>
      </c>
      <c r="H32" s="10">
        <v>103775</v>
      </c>
      <c r="I32" s="10">
        <v>155662.5</v>
      </c>
      <c r="J32" s="9">
        <f t="shared" si="0"/>
        <v>830200</v>
      </c>
      <c r="K32" s="22">
        <f>'BY REP'!E32</f>
        <v>830200</v>
      </c>
    </row>
    <row r="33" spans="1:11" ht="15" customHeight="1" x14ac:dyDescent="0.25">
      <c r="A33" s="8" t="s">
        <v>72</v>
      </c>
      <c r="B33" s="10">
        <v>155662.5</v>
      </c>
      <c r="C33" s="10">
        <v>51887.5</v>
      </c>
      <c r="D33" s="10">
        <v>51887.5</v>
      </c>
      <c r="E33" s="10">
        <v>51887.5</v>
      </c>
      <c r="F33" s="10">
        <v>103775</v>
      </c>
      <c r="G33" s="10">
        <v>155662.5</v>
      </c>
      <c r="H33" s="10">
        <v>103775</v>
      </c>
      <c r="I33" s="10">
        <v>155662.5</v>
      </c>
      <c r="J33" s="9">
        <f t="shared" si="0"/>
        <v>830200</v>
      </c>
      <c r="K33" s="22">
        <f>'BY REP'!E33</f>
        <v>830200</v>
      </c>
    </row>
    <row r="34" spans="1:11" ht="15" customHeight="1" x14ac:dyDescent="0.25">
      <c r="A34" s="8" t="s">
        <v>73</v>
      </c>
      <c r="B34" s="10">
        <v>155662.5</v>
      </c>
      <c r="C34" s="10">
        <v>51887.5</v>
      </c>
      <c r="D34" s="10">
        <v>51887.5</v>
      </c>
      <c r="E34" s="10">
        <v>51887.5</v>
      </c>
      <c r="F34" s="10">
        <v>103775</v>
      </c>
      <c r="G34" s="10">
        <v>155662.5</v>
      </c>
      <c r="H34" s="10">
        <v>103775</v>
      </c>
      <c r="I34" s="10">
        <v>155662.5</v>
      </c>
      <c r="J34" s="9">
        <f t="shared" si="0"/>
        <v>830200</v>
      </c>
      <c r="K34" s="22">
        <f>'BY REP'!E34</f>
        <v>830200</v>
      </c>
    </row>
    <row r="35" spans="1:11" ht="15" customHeight="1" x14ac:dyDescent="0.25">
      <c r="A35" s="8" t="s">
        <v>74</v>
      </c>
      <c r="B35" s="10">
        <v>155662.5</v>
      </c>
      <c r="C35" s="10">
        <v>51887.5</v>
      </c>
      <c r="D35" s="10">
        <v>51887.5</v>
      </c>
      <c r="E35" s="10">
        <v>51887.5</v>
      </c>
      <c r="F35" s="10">
        <v>103775</v>
      </c>
      <c r="G35" s="10">
        <v>155662.5</v>
      </c>
      <c r="H35" s="10">
        <v>103775</v>
      </c>
      <c r="I35" s="10">
        <v>155662.5</v>
      </c>
      <c r="J35" s="9">
        <f t="shared" si="0"/>
        <v>830200</v>
      </c>
      <c r="K35" s="22">
        <f>'BY REP'!E35</f>
        <v>830200</v>
      </c>
    </row>
    <row r="36" spans="1:11" ht="15" customHeight="1" x14ac:dyDescent="0.25">
      <c r="A36" s="8" t="s">
        <v>75</v>
      </c>
      <c r="B36" s="10">
        <v>155662.5</v>
      </c>
      <c r="C36" s="10">
        <v>51887.5</v>
      </c>
      <c r="D36" s="10">
        <v>51887.5</v>
      </c>
      <c r="E36" s="10">
        <v>51887.5</v>
      </c>
      <c r="F36" s="10">
        <v>103775</v>
      </c>
      <c r="G36" s="10">
        <v>155662.5</v>
      </c>
      <c r="H36" s="10">
        <v>103775</v>
      </c>
      <c r="I36" s="10">
        <v>155662.5</v>
      </c>
      <c r="J36" s="9">
        <f t="shared" si="0"/>
        <v>830200</v>
      </c>
      <c r="K36" s="22">
        <f>'BY REP'!E36</f>
        <v>830200</v>
      </c>
    </row>
    <row r="37" spans="1:11" ht="15" customHeight="1" x14ac:dyDescent="0.25">
      <c r="A37" s="8" t="s">
        <v>76</v>
      </c>
      <c r="B37" s="10">
        <v>155662.5</v>
      </c>
      <c r="C37" s="10">
        <v>51887.5</v>
      </c>
      <c r="D37" s="10">
        <v>51887.5</v>
      </c>
      <c r="E37" s="10">
        <v>51887.5</v>
      </c>
      <c r="F37" s="10">
        <v>103775</v>
      </c>
      <c r="G37" s="10">
        <v>155662.5</v>
      </c>
      <c r="H37" s="10">
        <v>103775</v>
      </c>
      <c r="I37" s="10">
        <v>155662.5</v>
      </c>
      <c r="J37" s="9">
        <f t="shared" si="0"/>
        <v>830200</v>
      </c>
      <c r="K37" s="22">
        <f>'BY REP'!E37</f>
        <v>830200</v>
      </c>
    </row>
    <row r="38" spans="1:11" ht="15" customHeight="1" x14ac:dyDescent="0.25">
      <c r="A38" s="8" t="s">
        <v>77</v>
      </c>
      <c r="B38" s="10">
        <v>155662.5</v>
      </c>
      <c r="C38" s="10">
        <v>51887.5</v>
      </c>
      <c r="D38" s="10">
        <v>51887.5</v>
      </c>
      <c r="E38" s="10">
        <v>51887.5</v>
      </c>
      <c r="F38" s="10">
        <v>103775</v>
      </c>
      <c r="G38" s="10">
        <v>155662.5</v>
      </c>
      <c r="H38" s="10">
        <v>103775</v>
      </c>
      <c r="I38" s="10">
        <v>155662.5</v>
      </c>
      <c r="J38" s="9">
        <f t="shared" si="0"/>
        <v>830200</v>
      </c>
      <c r="K38" s="22">
        <f>'BY REP'!E38</f>
        <v>830200</v>
      </c>
    </row>
    <row r="39" spans="1:11" ht="15" customHeight="1" x14ac:dyDescent="0.25">
      <c r="A39" s="8" t="s">
        <v>139</v>
      </c>
      <c r="B39" s="10">
        <v>143200</v>
      </c>
      <c r="C39" s="10">
        <v>143200</v>
      </c>
      <c r="D39" s="10">
        <v>143200</v>
      </c>
      <c r="E39" s="10">
        <v>143200</v>
      </c>
      <c r="F39" s="10">
        <v>143200</v>
      </c>
      <c r="G39" s="10">
        <v>143200</v>
      </c>
      <c r="H39" s="10">
        <v>143200</v>
      </c>
      <c r="I39" s="10">
        <v>143200</v>
      </c>
      <c r="J39" s="9">
        <f t="shared" ref="J39:J40" si="1">SUM(B39:I39)</f>
        <v>1145600</v>
      </c>
      <c r="K39" s="22">
        <f>'BY REP'!E39</f>
        <v>1145600</v>
      </c>
    </row>
    <row r="40" spans="1:11" ht="15" customHeight="1" x14ac:dyDescent="0.25">
      <c r="A40" s="8" t="s">
        <v>140</v>
      </c>
      <c r="B40" s="10">
        <v>138679.26874999981</v>
      </c>
      <c r="C40" s="10">
        <v>138679.26874999981</v>
      </c>
      <c r="D40" s="10">
        <v>138679.26874999999</v>
      </c>
      <c r="E40" s="10">
        <v>138679.26874999999</v>
      </c>
      <c r="F40" s="10">
        <v>138679.26874999999</v>
      </c>
      <c r="G40" s="10">
        <v>138679.26874999999</v>
      </c>
      <c r="H40" s="10">
        <v>138679.26874999999</v>
      </c>
      <c r="I40" s="10">
        <v>138679.26874999999</v>
      </c>
      <c r="J40" s="9">
        <f t="shared" si="1"/>
        <v>1109434.1499999997</v>
      </c>
      <c r="K40" s="22">
        <f>'BY REP'!E40</f>
        <v>1109434.1499999985</v>
      </c>
    </row>
    <row r="41" spans="1:11" ht="15" customHeight="1" x14ac:dyDescent="0.25">
      <c r="A41" s="8" t="s">
        <v>98</v>
      </c>
      <c r="B41" s="10">
        <v>125000</v>
      </c>
      <c r="C41" s="10">
        <v>125000</v>
      </c>
      <c r="D41" s="10">
        <v>125000</v>
      </c>
      <c r="E41" s="10">
        <v>125000</v>
      </c>
      <c r="F41" s="10">
        <v>125000</v>
      </c>
      <c r="G41" s="10">
        <v>125000</v>
      </c>
      <c r="H41" s="10">
        <v>125000</v>
      </c>
      <c r="I41" s="10">
        <v>125000</v>
      </c>
      <c r="J41" s="9">
        <f t="shared" ref="J41" si="2">SUM(B41:I41)</f>
        <v>1000000</v>
      </c>
      <c r="K41" s="22">
        <f>'BY REP'!E41</f>
        <v>1000000</v>
      </c>
    </row>
    <row r="42" spans="1:11" ht="15" customHeight="1" x14ac:dyDescent="0.25">
      <c r="A42" s="21" t="s">
        <v>78</v>
      </c>
      <c r="B42" s="30">
        <f>SUM(B5:B41)</f>
        <v>16676416.03875</v>
      </c>
      <c r="C42" s="30">
        <f>SUM(C5:C41)</f>
        <v>1497402.2297499999</v>
      </c>
      <c r="D42" s="30">
        <f t="shared" ref="D42:I42" si="3">SUM(D5:D41)</f>
        <v>1452139.9137500001</v>
      </c>
      <c r="E42" s="30">
        <f t="shared" si="3"/>
        <v>3067701.2112500002</v>
      </c>
      <c r="F42" s="30">
        <f t="shared" si="3"/>
        <v>6169389.1087499997</v>
      </c>
      <c r="G42" s="30">
        <f t="shared" si="3"/>
        <v>5750521.96875</v>
      </c>
      <c r="H42" s="30">
        <f t="shared" si="3"/>
        <v>7874609.1687500002</v>
      </c>
      <c r="I42" s="30">
        <f t="shared" si="3"/>
        <v>5973541.4187499993</v>
      </c>
      <c r="J42" s="30">
        <f>SUM(J5:J41)</f>
        <v>48461721.058499999</v>
      </c>
      <c r="K42" s="30">
        <f>SUM(K5:K40)</f>
        <v>47461721.159999989</v>
      </c>
    </row>
    <row r="43" spans="1:11" x14ac:dyDescent="0.25">
      <c r="A43" s="6" t="s">
        <v>92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9669"/>
  </sheetPr>
  <dimension ref="A1:D9"/>
  <sheetViews>
    <sheetView zoomScaleNormal="100" workbookViewId="0">
      <selection activeCell="F8" sqref="F8"/>
    </sheetView>
    <sheetView workbookViewId="1">
      <selection sqref="A1:D1"/>
    </sheetView>
  </sheetViews>
  <sheetFormatPr defaultColWidth="8.7109375" defaultRowHeight="15" x14ac:dyDescent="0.25"/>
  <cols>
    <col min="1" max="1" width="16" customWidth="1"/>
    <col min="2" max="3" width="20" customWidth="1"/>
    <col min="4" max="4" width="14" customWidth="1"/>
  </cols>
  <sheetData>
    <row r="1" spans="1:4" ht="17.25" customHeight="1" x14ac:dyDescent="0.25">
      <c r="A1" s="28" t="s">
        <v>93</v>
      </c>
      <c r="B1" s="28"/>
      <c r="C1" s="28"/>
      <c r="D1" s="28"/>
    </row>
    <row r="2" spans="1:4" ht="15" customHeight="1" x14ac:dyDescent="0.25">
      <c r="A2" s="29" t="s">
        <v>94</v>
      </c>
      <c r="B2" s="29"/>
      <c r="C2" s="29"/>
      <c r="D2" s="29"/>
    </row>
    <row r="4" spans="1:4" ht="15" customHeight="1" x14ac:dyDescent="0.25">
      <c r="A4" s="7" t="s">
        <v>30</v>
      </c>
      <c r="B4" s="7" t="s">
        <v>95</v>
      </c>
      <c r="C4" s="7" t="s">
        <v>96</v>
      </c>
      <c r="D4" s="7" t="s">
        <v>97</v>
      </c>
    </row>
    <row r="5" spans="1:4" ht="15" customHeight="1" x14ac:dyDescent="0.25">
      <c r="A5" s="15" t="s">
        <v>37</v>
      </c>
      <c r="B5" s="9">
        <v>21192048.329999998</v>
      </c>
      <c r="C5" s="9">
        <f>B5*1.3699</f>
        <v>29030987.007266995</v>
      </c>
      <c r="D5" s="23">
        <f>IF(B$9=0,"-",B5/B$9)</f>
        <v>0.43729458683214129</v>
      </c>
    </row>
    <row r="6" spans="1:4" ht="15" customHeight="1" x14ac:dyDescent="0.25">
      <c r="A6" s="15" t="s">
        <v>51</v>
      </c>
      <c r="B6" s="9">
        <v>18797872.825799994</v>
      </c>
      <c r="C6" s="9">
        <f>B6*1.3699</f>
        <v>25751205.984063409</v>
      </c>
      <c r="D6" s="23">
        <f t="shared" ref="D6:D9" si="0">IF(B$9=0,"-",B6/B$9)</f>
        <v>0.3878911515620041</v>
      </c>
    </row>
    <row r="7" spans="1:4" ht="15" customHeight="1" x14ac:dyDescent="0.25">
      <c r="A7" s="15" t="s">
        <v>69</v>
      </c>
      <c r="B7" s="9">
        <v>7471800</v>
      </c>
      <c r="C7" s="9">
        <f>B7*1.3699</f>
        <v>10235618.819999998</v>
      </c>
      <c r="D7" s="23">
        <f t="shared" si="0"/>
        <v>0.1541794187618481</v>
      </c>
    </row>
    <row r="8" spans="1:4" ht="15" customHeight="1" x14ac:dyDescent="0.25">
      <c r="A8" s="15" t="s">
        <v>98</v>
      </c>
      <c r="B8" s="9">
        <v>1000000</v>
      </c>
      <c r="C8" s="9">
        <f>B8*1.3699</f>
        <v>1369900</v>
      </c>
      <c r="D8" s="23">
        <f t="shared" si="0"/>
        <v>2.0634842844006542E-2</v>
      </c>
    </row>
    <row r="9" spans="1:4" x14ac:dyDescent="0.25">
      <c r="A9" s="21" t="s">
        <v>99</v>
      </c>
      <c r="B9" s="30">
        <f>SUM(B5:B8)</f>
        <v>48461721.155799992</v>
      </c>
      <c r="C9" s="30">
        <f>SUM(C5:C8)</f>
        <v>66387711.8113304</v>
      </c>
      <c r="D9" s="23">
        <f t="shared" si="0"/>
        <v>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A1:D22"/>
  <sheetViews>
    <sheetView zoomScaleNormal="100" workbookViewId="0">
      <selection activeCell="A18" sqref="A18"/>
    </sheetView>
    <sheetView workbookViewId="1">
      <selection sqref="A1:D1"/>
    </sheetView>
  </sheetViews>
  <sheetFormatPr defaultColWidth="8.7109375" defaultRowHeight="15" x14ac:dyDescent="0.25"/>
  <cols>
    <col min="1" max="1" width="26" customWidth="1"/>
    <col min="2" max="2" width="23.28515625" bestFit="1" customWidth="1"/>
    <col min="3" max="3" width="22" customWidth="1"/>
    <col min="4" max="4" width="30" customWidth="1"/>
  </cols>
  <sheetData>
    <row r="1" spans="1:4" ht="17.25" customHeight="1" x14ac:dyDescent="0.25">
      <c r="A1" s="28" t="s">
        <v>100</v>
      </c>
      <c r="B1" s="28"/>
      <c r="C1" s="28"/>
      <c r="D1" s="28"/>
    </row>
    <row r="2" spans="1:4" ht="15" customHeight="1" x14ac:dyDescent="0.25">
      <c r="A2" s="29" t="s">
        <v>101</v>
      </c>
      <c r="B2" s="29"/>
      <c r="C2" s="29"/>
      <c r="D2" s="29"/>
    </row>
    <row r="4" spans="1:4" ht="15" customHeight="1" x14ac:dyDescent="0.25">
      <c r="A4" s="31" t="s">
        <v>102</v>
      </c>
      <c r="B4" s="31" t="s">
        <v>33</v>
      </c>
      <c r="C4" s="31" t="s">
        <v>34</v>
      </c>
      <c r="D4" s="31" t="s">
        <v>35</v>
      </c>
    </row>
    <row r="5" spans="1:4" ht="15" customHeight="1" x14ac:dyDescent="0.25">
      <c r="A5" s="32" t="s">
        <v>103</v>
      </c>
      <c r="B5" s="39">
        <v>3286168</v>
      </c>
      <c r="C5" s="33">
        <f t="shared" ref="C5:C22" si="0">IF(B5="","",B5*1.3699)</f>
        <v>4501721.5431999993</v>
      </c>
      <c r="D5" s="12"/>
    </row>
    <row r="6" spans="1:4" ht="15" customHeight="1" x14ac:dyDescent="0.25">
      <c r="A6" s="32" t="s">
        <v>114</v>
      </c>
      <c r="B6" s="39">
        <v>5088976</v>
      </c>
      <c r="C6" s="33">
        <f t="shared" si="0"/>
        <v>6971388.2223999994</v>
      </c>
      <c r="D6" s="12"/>
    </row>
    <row r="7" spans="1:4" ht="15" customHeight="1" x14ac:dyDescent="0.25">
      <c r="A7" s="32" t="s">
        <v>104</v>
      </c>
      <c r="B7" s="39">
        <v>4999999.9999999963</v>
      </c>
      <c r="C7" s="33">
        <f t="shared" si="0"/>
        <v>6849499.9999999944</v>
      </c>
      <c r="D7" s="12"/>
    </row>
    <row r="8" spans="1:4" ht="15" customHeight="1" x14ac:dyDescent="0.25">
      <c r="A8" s="32" t="s">
        <v>105</v>
      </c>
      <c r="B8" s="39">
        <v>3500000</v>
      </c>
      <c r="C8" s="33">
        <f t="shared" si="0"/>
        <v>4794650</v>
      </c>
      <c r="D8" s="12"/>
    </row>
    <row r="9" spans="1:4" ht="15" customHeight="1" x14ac:dyDescent="0.25">
      <c r="A9" s="32" t="s">
        <v>120</v>
      </c>
      <c r="B9" s="39">
        <v>2015107.6189999997</v>
      </c>
      <c r="C9" s="33">
        <f t="shared" si="0"/>
        <v>2760495.9272680995</v>
      </c>
      <c r="D9" s="12"/>
    </row>
    <row r="10" spans="1:4" ht="15" customHeight="1" x14ac:dyDescent="0.25">
      <c r="A10" s="32" t="s">
        <v>116</v>
      </c>
      <c r="B10" s="39">
        <v>2774766.5</v>
      </c>
      <c r="C10" s="33">
        <f t="shared" si="0"/>
        <v>3801152.6283499999</v>
      </c>
      <c r="D10" s="12"/>
    </row>
    <row r="11" spans="1:4" x14ac:dyDescent="0.25">
      <c r="A11" s="32" t="s">
        <v>117</v>
      </c>
      <c r="B11" s="39">
        <v>1708455.5</v>
      </c>
      <c r="C11" s="33">
        <f t="shared" si="0"/>
        <v>2340413.1894499999</v>
      </c>
      <c r="D11" s="12"/>
    </row>
    <row r="12" spans="1:4" x14ac:dyDescent="0.25">
      <c r="A12" s="32" t="s">
        <v>119</v>
      </c>
      <c r="B12" s="39">
        <v>1242870.1800000002</v>
      </c>
      <c r="C12" s="33">
        <f t="shared" si="0"/>
        <v>1702607.8595820002</v>
      </c>
      <c r="D12" s="12"/>
    </row>
    <row r="13" spans="1:4" x14ac:dyDescent="0.25">
      <c r="A13" s="32" t="s">
        <v>118</v>
      </c>
      <c r="B13" s="39">
        <v>1637534.6327999998</v>
      </c>
      <c r="C13" s="33">
        <f t="shared" si="0"/>
        <v>2243258.6934727198</v>
      </c>
      <c r="D13" s="12"/>
    </row>
    <row r="14" spans="1:4" x14ac:dyDescent="0.25">
      <c r="A14" s="32" t="s">
        <v>115</v>
      </c>
      <c r="B14" s="39">
        <v>1413865.9899999998</v>
      </c>
      <c r="C14" s="33">
        <f t="shared" si="0"/>
        <v>1936855.0197009996</v>
      </c>
      <c r="D14" s="12"/>
    </row>
    <row r="15" spans="1:4" x14ac:dyDescent="0.25">
      <c r="A15" s="32" t="s">
        <v>107</v>
      </c>
      <c r="B15" s="39">
        <v>1945450</v>
      </c>
      <c r="C15" s="33">
        <f t="shared" si="0"/>
        <v>2665071.9549999996</v>
      </c>
      <c r="D15" s="12"/>
    </row>
    <row r="16" spans="1:4" x14ac:dyDescent="0.25">
      <c r="A16" s="32" t="s">
        <v>106</v>
      </c>
      <c r="B16" s="39">
        <v>150000</v>
      </c>
      <c r="C16" s="33">
        <f t="shared" si="0"/>
        <v>205484.99999999997</v>
      </c>
      <c r="D16" s="12"/>
    </row>
    <row r="17" spans="1:4" x14ac:dyDescent="0.25">
      <c r="A17" s="32" t="s">
        <v>108</v>
      </c>
      <c r="B17" s="39">
        <v>302025.39399999991</v>
      </c>
      <c r="C17" s="33">
        <f t="shared" si="0"/>
        <v>413744.58724059985</v>
      </c>
      <c r="D17" s="12"/>
    </row>
    <row r="18" spans="1:4" x14ac:dyDescent="0.25">
      <c r="A18" s="32" t="s">
        <v>110</v>
      </c>
      <c r="B18" s="39">
        <v>549259</v>
      </c>
      <c r="C18" s="33">
        <f t="shared" si="0"/>
        <v>752429.90409999993</v>
      </c>
      <c r="D18" s="12"/>
    </row>
    <row r="19" spans="1:4" x14ac:dyDescent="0.25">
      <c r="A19" s="32" t="s">
        <v>109</v>
      </c>
      <c r="B19" s="39">
        <v>184507.5</v>
      </c>
      <c r="C19" s="33">
        <f t="shared" si="0"/>
        <v>252756.82424999998</v>
      </c>
      <c r="D19" s="12"/>
    </row>
    <row r="20" spans="1:4" x14ac:dyDescent="0.25">
      <c r="A20" s="32" t="s">
        <v>121</v>
      </c>
      <c r="B20" s="39">
        <v>160673</v>
      </c>
      <c r="C20" s="33">
        <f t="shared" si="0"/>
        <v>220105.94269999999</v>
      </c>
      <c r="D20" s="12"/>
    </row>
    <row r="21" spans="1:4" x14ac:dyDescent="0.25">
      <c r="A21" s="32" t="s">
        <v>141</v>
      </c>
      <c r="B21" s="39">
        <v>131400</v>
      </c>
      <c r="C21" s="33">
        <f t="shared" si="0"/>
        <v>180004.86</v>
      </c>
      <c r="D21" s="12"/>
    </row>
    <row r="22" spans="1:4" x14ac:dyDescent="0.25">
      <c r="A22" s="32" t="s">
        <v>142</v>
      </c>
      <c r="B22" s="39">
        <v>12665.5</v>
      </c>
      <c r="C22" s="33">
        <f t="shared" si="0"/>
        <v>17350.46845</v>
      </c>
      <c r="D22" s="12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91B2"/>
  </sheetPr>
  <dimension ref="A1:D9"/>
  <sheetViews>
    <sheetView zoomScaleNormal="100" workbookViewId="0">
      <selection activeCell="D9" sqref="D9"/>
    </sheetView>
    <sheetView workbookViewId="1">
      <selection sqref="A1:D1"/>
    </sheetView>
  </sheetViews>
  <sheetFormatPr defaultColWidth="8.7109375" defaultRowHeight="15" x14ac:dyDescent="0.25"/>
  <cols>
    <col min="1" max="1" width="30" customWidth="1"/>
    <col min="2" max="3" width="22" customWidth="1"/>
    <col min="4" max="4" width="30" customWidth="1"/>
  </cols>
  <sheetData>
    <row r="1" spans="1:4" ht="17.25" customHeight="1" x14ac:dyDescent="0.25">
      <c r="A1" s="28" t="s">
        <v>111</v>
      </c>
      <c r="B1" s="28"/>
      <c r="C1" s="28"/>
      <c r="D1" s="28"/>
    </row>
    <row r="2" spans="1:4" ht="15" customHeight="1" x14ac:dyDescent="0.25">
      <c r="A2" s="29" t="s">
        <v>112</v>
      </c>
      <c r="B2" s="29"/>
      <c r="C2" s="29"/>
      <c r="D2" s="29"/>
    </row>
    <row r="4" spans="1:4" ht="15" customHeight="1" x14ac:dyDescent="0.25">
      <c r="A4" s="31" t="s">
        <v>113</v>
      </c>
      <c r="B4" s="31" t="s">
        <v>33</v>
      </c>
      <c r="C4" s="31" t="s">
        <v>34</v>
      </c>
      <c r="D4" s="31" t="s">
        <v>35</v>
      </c>
    </row>
    <row r="5" spans="1:4" ht="15" customHeight="1" x14ac:dyDescent="0.25">
      <c r="A5" s="32" t="s">
        <v>131</v>
      </c>
      <c r="B5" s="10">
        <v>2778111.42</v>
      </c>
      <c r="C5" s="33">
        <f t="shared" ref="C5:C8" si="0">IF(B5="","",B5*1.3699)</f>
        <v>3805734.8342579994</v>
      </c>
      <c r="D5" s="12"/>
    </row>
    <row r="6" spans="1:4" ht="15" customHeight="1" x14ac:dyDescent="0.25">
      <c r="A6" s="32" t="s">
        <v>132</v>
      </c>
      <c r="B6" s="10">
        <v>3251366.2889999999</v>
      </c>
      <c r="C6" s="33">
        <f t="shared" si="0"/>
        <v>4454046.6793010999</v>
      </c>
      <c r="D6" s="12"/>
    </row>
    <row r="7" spans="1:4" ht="15" customHeight="1" x14ac:dyDescent="0.25">
      <c r="A7" s="32" t="s">
        <v>133</v>
      </c>
      <c r="B7" s="10">
        <v>7045000.0000000009</v>
      </c>
      <c r="C7" s="33">
        <f t="shared" si="0"/>
        <v>9650945.5</v>
      </c>
      <c r="D7" s="12"/>
    </row>
    <row r="8" spans="1:4" ht="15" customHeight="1" x14ac:dyDescent="0.25">
      <c r="A8" s="32" t="s">
        <v>134</v>
      </c>
      <c r="B8" s="10">
        <v>2213000.0000000005</v>
      </c>
      <c r="C8" s="33">
        <f t="shared" si="0"/>
        <v>3031588.7</v>
      </c>
      <c r="D8" s="12"/>
    </row>
    <row r="9" spans="1:4" ht="15" customHeight="1" x14ac:dyDescent="0.25">
      <c r="A9" s="32" t="s">
        <v>122</v>
      </c>
      <c r="B9" s="10">
        <f>SUM(B5:B8)</f>
        <v>15287477.709000001</v>
      </c>
      <c r="C9" s="34">
        <f>SUM(C5:C8)</f>
        <v>20942315.713559099</v>
      </c>
      <c r="D9" s="12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zoomScaleNormal="100" workbookViewId="0">
      <selection activeCell="B12" sqref="B12"/>
    </sheetView>
    <sheetView workbookViewId="1"/>
  </sheetViews>
  <sheetFormatPr defaultColWidth="8.7109375" defaultRowHeight="15" x14ac:dyDescent="0.25"/>
  <cols>
    <col min="1" max="1" width="24" customWidth="1"/>
    <col min="2" max="2" width="22" style="35" customWidth="1"/>
    <col min="3" max="3" width="22" customWidth="1"/>
    <col min="4" max="4" width="30" customWidth="1"/>
  </cols>
  <sheetData>
    <row r="1" spans="1:4" ht="18" x14ac:dyDescent="0.25">
      <c r="A1" s="5" t="s">
        <v>123</v>
      </c>
    </row>
    <row r="2" spans="1:4" x14ac:dyDescent="0.25">
      <c r="A2" s="6" t="s">
        <v>124</v>
      </c>
    </row>
    <row r="4" spans="1:4" x14ac:dyDescent="0.25">
      <c r="A4" s="24" t="s">
        <v>125</v>
      </c>
      <c r="B4" s="7" t="s">
        <v>33</v>
      </c>
      <c r="C4" s="24" t="s">
        <v>34</v>
      </c>
      <c r="D4" s="24" t="s">
        <v>35</v>
      </c>
    </row>
    <row r="5" spans="1:4" x14ac:dyDescent="0.25">
      <c r="A5" s="13" t="s">
        <v>126</v>
      </c>
      <c r="B5" s="36">
        <v>2275000</v>
      </c>
      <c r="C5" s="11">
        <f>IF(B5="","",B5*1.3699)</f>
        <v>3116522.4999999995</v>
      </c>
      <c r="D5" s="12"/>
    </row>
    <row r="6" spans="1:4" x14ac:dyDescent="0.25">
      <c r="A6" s="13" t="s">
        <v>53</v>
      </c>
      <c r="B6" s="36">
        <v>6000000</v>
      </c>
      <c r="C6" s="11">
        <f>IF(B6="","",B6*1.3699)</f>
        <v>8219399.9999999991</v>
      </c>
      <c r="D6" s="12"/>
    </row>
    <row r="7" spans="1:4" x14ac:dyDescent="0.25">
      <c r="A7" s="13" t="s">
        <v>135</v>
      </c>
      <c r="B7" s="36">
        <v>14287183.609999996</v>
      </c>
      <c r="C7" s="11">
        <f>IF(B7="","",B7*1.3699)</f>
        <v>19572012.827338994</v>
      </c>
      <c r="D7" s="12"/>
    </row>
    <row r="8" spans="1:4" x14ac:dyDescent="0.25">
      <c r="A8" s="13" t="s">
        <v>136</v>
      </c>
      <c r="B8" s="36">
        <v>15287477.709000001</v>
      </c>
      <c r="C8" s="11">
        <f>IF(B8="","",B8*1.3699)</f>
        <v>20942315.713559099</v>
      </c>
      <c r="D8" s="12"/>
    </row>
    <row r="9" spans="1:4" x14ac:dyDescent="0.25">
      <c r="A9" s="13" t="s">
        <v>137</v>
      </c>
      <c r="B9" s="36">
        <v>2140259.8367999941</v>
      </c>
      <c r="C9" s="11">
        <f>IF(B9="","",B9*1.3699)</f>
        <v>2931941.9504323117</v>
      </c>
      <c r="D9" s="12"/>
    </row>
    <row r="10" spans="1:4" x14ac:dyDescent="0.25">
      <c r="A10" s="21" t="s">
        <v>127</v>
      </c>
      <c r="B10" s="30">
        <f>SUM(B5:B9)</f>
        <v>39989921.155799992</v>
      </c>
      <c r="C10" s="18">
        <f>SUM(C5:C9)</f>
        <v>54782192.9913304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BY REP</vt:lpstr>
      <vt:lpstr>BY CATEGORY</vt:lpstr>
      <vt:lpstr>BY REGION</vt:lpstr>
      <vt:lpstr>KEY ACCOUNTS</vt:lpstr>
      <vt:lpstr>SPECIALTY ACCOUNTS</vt:lpstr>
      <vt:lpstr>CHANNEL BUDGETS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Philippe Gelineau</cp:lastModifiedBy>
  <cp:revision>0</cp:revision>
  <dcterms:created xsi:type="dcterms:W3CDTF">2026-03-03T22:09:34Z</dcterms:created>
  <dcterms:modified xsi:type="dcterms:W3CDTF">2026-03-04T15:19:45Z</dcterms:modified>
  <cp:category/>
  <cp:contentStatus/>
</cp:coreProperties>
</file>