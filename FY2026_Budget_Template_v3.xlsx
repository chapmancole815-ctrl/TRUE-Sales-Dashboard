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truetemper-my.sharepoint.com/personal/cole_chapman_true-sports_com/Documents/Documents/_Shared/CLAUDE CONTEXT/SALES DASHBOARD/"/>
    </mc:Choice>
  </mc:AlternateContent>
  <xr:revisionPtr revIDLastSave="0" documentId="8_{FEE569B4-E5D6-984F-B703-AFCEC78B05D9}" xr6:coauthVersionLast="47" xr6:coauthVersionMax="47" xr10:uidLastSave="{00000000-0000-0000-0000-000000000000}"/>
  <bookViews>
    <workbookView xWindow="0" yWindow="500" windowWidth="25900" windowHeight="15800" tabRatio="500" activeTab="1" xr2:uid="{00000000-000D-0000-FFFF-FFFF00000000}"/>
  </bookViews>
  <sheets>
    <sheet name="INSTRUCTIONS" sheetId="1" r:id="rId1"/>
    <sheet name="BY REP" sheetId="2" r:id="rId2"/>
    <sheet name="BY CATEGORY" sheetId="3" r:id="rId3"/>
    <sheet name="BY REGION" sheetId="4" r:id="rId4"/>
    <sheet name="KEY ACCOUNTS" sheetId="5" r:id="rId5"/>
    <sheet name="SPECIALTY ACCOUNTS" sheetId="6" r:id="rId6"/>
    <sheet name="CHANNEL BUDGE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7" l="1"/>
  <c r="C9" i="7"/>
  <c r="C8" i="7"/>
  <c r="C7" i="7"/>
  <c r="C6" i="7"/>
  <c r="C5" i="7"/>
  <c r="C10" i="7" s="1"/>
  <c r="B14" i="6"/>
  <c r="C13" i="6"/>
  <c r="C12" i="6"/>
  <c r="C11" i="6"/>
  <c r="C10" i="6"/>
  <c r="C9" i="6"/>
  <c r="C8" i="6"/>
  <c r="C7" i="6"/>
  <c r="C6" i="6"/>
  <c r="C5" i="6"/>
  <c r="C14" i="6" s="1"/>
  <c r="B15" i="5"/>
  <c r="C14" i="5"/>
  <c r="C13" i="5"/>
  <c r="C12" i="5"/>
  <c r="C11" i="5"/>
  <c r="C10" i="5"/>
  <c r="C9" i="5"/>
  <c r="C8" i="5"/>
  <c r="C7" i="5"/>
  <c r="C6" i="5"/>
  <c r="C15" i="5" s="1"/>
  <c r="C5" i="5"/>
  <c r="C8" i="4"/>
  <c r="B8" i="4"/>
  <c r="B7" i="4"/>
  <c r="C7" i="4" s="1"/>
  <c r="B6" i="4"/>
  <c r="C6" i="4" s="1"/>
  <c r="B5" i="4"/>
  <c r="B9" i="4" s="1"/>
  <c r="H39" i="3"/>
  <c r="F39" i="3"/>
  <c r="E39" i="3"/>
  <c r="D39" i="3"/>
  <c r="C39" i="3"/>
  <c r="B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G39" i="3" s="1"/>
  <c r="F45" i="2"/>
  <c r="E45" i="2"/>
  <c r="E44" i="2"/>
  <c r="E43" i="2"/>
  <c r="E42" i="2"/>
  <c r="E40" i="2"/>
  <c r="F38" i="2"/>
  <c r="F37" i="2"/>
  <c r="F36" i="2"/>
  <c r="F35" i="2"/>
  <c r="F34" i="2"/>
  <c r="F33" i="2"/>
  <c r="F32" i="2"/>
  <c r="F31" i="2"/>
  <c r="F30" i="2"/>
  <c r="F44" i="2" s="1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43" i="2" s="1"/>
  <c r="F16" i="2"/>
  <c r="F15" i="2"/>
  <c r="F14" i="2"/>
  <c r="F13" i="2"/>
  <c r="F12" i="2"/>
  <c r="F11" i="2"/>
  <c r="F10" i="2"/>
  <c r="F9" i="2"/>
  <c r="F8" i="2"/>
  <c r="F7" i="2"/>
  <c r="F42" i="2" s="1"/>
  <c r="F6" i="2"/>
  <c r="F5" i="2"/>
  <c r="D5" i="4" l="1"/>
  <c r="D8" i="4"/>
  <c r="D7" i="4"/>
  <c r="D6" i="4"/>
  <c r="F40" i="2"/>
  <c r="C5" i="4"/>
  <c r="C9" i="4" s="1"/>
</calcChain>
</file>

<file path=xl/sharedStrings.xml><?xml version="1.0" encoding="utf-8"?>
<sst xmlns="http://schemas.openxmlformats.org/spreadsheetml/2006/main" count="280" uniqueCount="132">
  <si>
    <t>FY2026 BUDGET TEMPLATE — TRUE SPORTS</t>
  </si>
  <si>
    <t>HOW TO USE THIS TEMPLATE</t>
  </si>
  <si>
    <t>1. BY REP</t>
  </si>
  <si>
    <t>Enter each rep's total annual budget in USD (column E, blue cells). Rep Team column classifies Elite/Retail/Dual.</t>
  </si>
  <si>
    <t>CAD column auto-calculates at 1.3699 FX rate.</t>
  </si>
  <si>
    <t>2. BY CATEGORY</t>
  </si>
  <si>
    <t>Break down each rep's budget across 5 product categories.</t>
  </si>
  <si>
    <t>Category Total (col G) should match their Rep Budget (col H, linked from BY REP).</t>
  </si>
  <si>
    <t>3. BY REGION</t>
  </si>
  <si>
    <t>Auto-calculated — no input needed. Pulls from BY REP.</t>
  </si>
  <si>
    <t>4. KEY ACCOUNTS</t>
  </si>
  <si>
    <t>Enter budget targets for each Key Account retailer.</t>
  </si>
  <si>
    <t>5. CHANNEL BUDGETS</t>
  </si>
  <si>
    <t>Enter budget targets by channel: DTC, Elite, Key Account, Specialty, Other.</t>
  </si>
  <si>
    <t>NOTES</t>
  </si>
  <si>
    <t>Removed reps: Corey Gregory (→ Dave McNally), Steve Sutherland (→ Dave McNally), Rich Vanbellinger (→ Dave Campbell). Added: Lucas Gore (Elite), PHILIPPE BOUDREAULT MCNICOLL (EU). ROW region added as placeholder.</t>
  </si>
  <si>
    <t>Blue text on yellow</t>
  </si>
  <si>
    <t>Input cell (enter your numbers here)</t>
  </si>
  <si>
    <t>Black text</t>
  </si>
  <si>
    <t>Formula (auto-calculated, do not edit)</t>
  </si>
  <si>
    <t>Green text</t>
  </si>
  <si>
    <t>Cross-sheet link</t>
  </si>
  <si>
    <t>CURRENCY</t>
  </si>
  <si>
    <t>All inputs in USD. CAD columns auto-convert at FX = 1.3699.</t>
  </si>
  <si>
    <t>To change FX rate, update the formulas in each sheet.</t>
  </si>
  <si>
    <t>This file feeds the True Sports Performance Dashboard.</t>
  </si>
  <si>
    <t>Once complete, budgets will be locked into the dashboard for the fiscal year.</t>
  </si>
  <si>
    <t>FY2026 Budget — By Sales Rep</t>
  </si>
  <si>
    <t>Enter annual budget for each rep in USD (blue cells). Rep Team: Elite / Retail / Dual.</t>
  </si>
  <si>
    <t>Rep Name</t>
  </si>
  <si>
    <t>Region</t>
  </si>
  <si>
    <t>Country</t>
  </si>
  <si>
    <t>Rep Team</t>
  </si>
  <si>
    <t>FY2026 Budget (USD)</t>
  </si>
  <si>
    <t>FY2026 Budget (CAD)</t>
  </si>
  <si>
    <t>Notes</t>
  </si>
  <si>
    <t>Brad Savelson</t>
  </si>
  <si>
    <t>CAN</t>
  </si>
  <si>
    <t>CA</t>
  </si>
  <si>
    <t>Retail</t>
  </si>
  <si>
    <t>Brent Hobday</t>
  </si>
  <si>
    <t>Carl Menard</t>
  </si>
  <si>
    <t>Greg Pettis</t>
  </si>
  <si>
    <t>JEFF LYNCH</t>
  </si>
  <si>
    <t>Key Accounts Canada</t>
  </si>
  <si>
    <t>Marc-Andre Bellehumeur</t>
  </si>
  <si>
    <t>Mario Richard</t>
  </si>
  <si>
    <t>Mario Therrien</t>
  </si>
  <si>
    <t>Scott Sissions</t>
  </si>
  <si>
    <t>WES HUETHER</t>
  </si>
  <si>
    <t>Adam Berkhoel</t>
  </si>
  <si>
    <t>USA</t>
  </si>
  <si>
    <t>US</t>
  </si>
  <si>
    <t>Elite</t>
  </si>
  <si>
    <t>DAVE MCNALLY</t>
  </si>
  <si>
    <t>Dave Campbell</t>
  </si>
  <si>
    <t>Jesse Nifong (Hockey)</t>
  </si>
  <si>
    <t>Jon Nassoura</t>
  </si>
  <si>
    <t>Key Accounts US</t>
  </si>
  <si>
    <t>Lucas Gore</t>
  </si>
  <si>
    <t>MITCHELL WALKER</t>
  </si>
  <si>
    <t>Matt Shaw</t>
  </si>
  <si>
    <t>SCOTT BROWN</t>
  </si>
  <si>
    <t>Dual</t>
  </si>
  <si>
    <t>SCOTT WALKER</t>
  </si>
  <si>
    <t>Steve Boersma</t>
  </si>
  <si>
    <t>VINCENT PIZZO</t>
  </si>
  <si>
    <t>Zac Lampson</t>
  </si>
  <si>
    <t>Andreas Lindqvist</t>
  </si>
  <si>
    <t>EU</t>
  </si>
  <si>
    <t>Andrew McPherson</t>
  </si>
  <si>
    <t>Andris Stepins</t>
  </si>
  <si>
    <t>Filippo Dal Ben</t>
  </si>
  <si>
    <t>Jonathan Weaver</t>
  </si>
  <si>
    <t>PETTERI LINNONMAA</t>
  </si>
  <si>
    <t>PHILIPPE BOUDREAULT MCNICOLL</t>
  </si>
  <si>
    <t>ProjektS</t>
  </si>
  <si>
    <t>Tilen Smolnikar</t>
  </si>
  <si>
    <t>TOTAL</t>
  </si>
  <si>
    <t>CAN Total</t>
  </si>
  <si>
    <t>USA Total</t>
  </si>
  <si>
    <t>EU Total</t>
  </si>
  <si>
    <t>ROW Total</t>
  </si>
  <si>
    <t>FY2026 Budget — By Rep × Category</t>
  </si>
  <si>
    <t>Enter category budgets per rep (USD). Row totals should match BY REP sheet. Blue cells = input.</t>
  </si>
  <si>
    <t>Sticks</t>
  </si>
  <si>
    <t>Custom Skates</t>
  </si>
  <si>
    <t>Stock Skates</t>
  </si>
  <si>
    <t>Custom Goalie</t>
  </si>
  <si>
    <t>Stock Goalie</t>
  </si>
  <si>
    <t>Category Total</t>
  </si>
  <si>
    <t>Rep Budget (link)</t>
  </si>
  <si>
    <t>Variance (Cat Total vs Rep Budget)</t>
  </si>
  <si>
    <t>FY2026 Budget — By Region</t>
  </si>
  <si>
    <t>Auto-calculated from BY REP sheet. No manual entry needed.</t>
  </si>
  <si>
    <t>Budget (USD)</t>
  </si>
  <si>
    <t>Budget (CAD)</t>
  </si>
  <si>
    <t>% of Total</t>
  </si>
  <si>
    <t>ROW</t>
  </si>
  <si>
    <t>GLOBAL TOTAL</t>
  </si>
  <si>
    <t>FY2026 Budget — Key Accounts</t>
  </si>
  <si>
    <t>Enter budget by Key Account (USD). Blue cells = input.</t>
  </si>
  <si>
    <t>Key Account</t>
  </si>
  <si>
    <t>PRO HOCKEY LIFE</t>
  </si>
  <si>
    <t>PURE HOCKEY</t>
  </si>
  <si>
    <t>MONKEY USA</t>
  </si>
  <si>
    <t>MONKEY CANADA</t>
  </si>
  <si>
    <t>SPORT CHEK</t>
  </si>
  <si>
    <t>PIAS USA</t>
  </si>
  <si>
    <t>PIAS CANADA</t>
  </si>
  <si>
    <t>PERANIS</t>
  </si>
  <si>
    <t>KEY ACCOUNTS TOTAL</t>
  </si>
  <si>
    <t>FY2026 Budget — Specialty Accounts</t>
  </si>
  <si>
    <t>Enter budget by Specialty Account (USD). Blue cells = input.</t>
  </si>
  <si>
    <t>Specialty Account</t>
  </si>
  <si>
    <t>SOURCE FOR SPORTS CANADA</t>
  </si>
  <si>
    <t>SOURCE FOR SPORTS USA</t>
  </si>
  <si>
    <t>FGL FRANCHISE DIVISION</t>
  </si>
  <si>
    <t>SPORTS EXCELLENCE CANADA</t>
  </si>
  <si>
    <t>SPORTS EXCELLENCE USA</t>
  </si>
  <si>
    <t>INDEPENDENTS CANADA</t>
  </si>
  <si>
    <t>INDEPENDENTS USA</t>
  </si>
  <si>
    <t>HOCKEY HOUND</t>
  </si>
  <si>
    <t>SPORTS AUX PUCES</t>
  </si>
  <si>
    <t>SPECIALTY TOTAL</t>
  </si>
  <si>
    <t>FY2026 Budget — By Channel</t>
  </si>
  <si>
    <t>Enter budget by channel (USD). Blue cells = input.</t>
  </si>
  <si>
    <t>Channel</t>
  </si>
  <si>
    <t>DTC</t>
  </si>
  <si>
    <t>Specialty</t>
  </si>
  <si>
    <t>Other</t>
  </si>
  <si>
    <t>CHANNEL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</si>
</sst>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9" x14ac:knownFonts="1">
    <font>
      <sz val="11"/>
      <color theme="1"/>
      <name val="Calibri"/>
      <family val="2"/>
      <charset val="1"/>
    </font>
    <font>
      <b/>
      <sz val="16"/>
      <color rgb="FF0F1F3A"/>
      <name val="Arial"/>
      <family val="2"/>
    </font>
    <font>
      <sz val="10"/>
      <color rgb="FF475569"/>
      <name val="Arial"/>
      <family val="2"/>
    </font>
    <font>
      <b/>
      <sz val="12"/>
      <color rgb="FF0F1F3A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sz val="11"/>
      <color rgb="FF008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color rgb="FF0F1F3A"/>
      <name val="Arial"/>
      <family val="2"/>
    </font>
    <font>
      <i/>
      <sz val="9"/>
      <color rgb="FF6B7280"/>
      <name val="Arial"/>
      <family val="2"/>
    </font>
    <font>
      <b/>
      <sz val="10"/>
      <color rgb="FF0F1F3A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DBEAFE"/>
        <bgColor rgb="FFCCFFFF"/>
      </patternFill>
    </fill>
    <fill>
      <patternFill patternType="solid">
        <fgColor rgb="FF0F1F3A"/>
        <bgColor rgb="FF333333"/>
      </patternFill>
    </fill>
    <fill>
      <patternFill patternType="solid">
        <fgColor rgb="FFFFFFF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5" fillId="0" borderId="0" xfId="0" applyFont="1"/>
    <xf numFmtId="0" fontId="14" fillId="0" borderId="0" xfId="0" applyFont="1"/>
    <xf numFmtId="0" fontId="7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/>
    <xf numFmtId="0" fontId="0" fillId="0" borderId="1" xfId="0" applyBorder="1"/>
    <xf numFmtId="0" fontId="9" fillId="0" borderId="1" xfId="0" applyFont="1" applyBorder="1"/>
    <xf numFmtId="0" fontId="12" fillId="0" borderId="0" xfId="0" applyFont="1"/>
    <xf numFmtId="0" fontId="13" fillId="0" borderId="1" xfId="0" applyFont="1" applyBorder="1" applyAlignment="1">
      <alignment horizontal="left" vertical="center"/>
    </xf>
    <xf numFmtId="0" fontId="12" fillId="0" borderId="1" xfId="0" applyFont="1" applyBorder="1"/>
    <xf numFmtId="164" fontId="12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/>
    <xf numFmtId="0" fontId="12" fillId="0" borderId="2" xfId="0" applyFont="1" applyBorder="1" applyAlignment="1">
      <alignment horizontal="left" vertical="center"/>
    </xf>
    <xf numFmtId="164" fontId="12" fillId="0" borderId="2" xfId="0" applyNumberFormat="1" applyFont="1" applyBorder="1" applyAlignment="1">
      <alignment horizontal="center" vertical="center"/>
    </xf>
    <xf numFmtId="0" fontId="13" fillId="0" borderId="1" xfId="0" applyFont="1" applyBorder="1"/>
    <xf numFmtId="164" fontId="11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/>
    <xf numFmtId="0" fontId="8" fillId="4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8" fillId="0" borderId="2" xfId="0" applyNumberFormat="1" applyFont="1" applyBorder="1" applyAlignment="1">
      <alignment horizontal="center" vertical="center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center"/>
    </xf>
    <xf numFmtId="0" fontId="8" fillId="2" borderId="1" xfId="0" applyFont="1" applyFill="1" applyBorder="1"/>
    <xf numFmtId="164" fontId="10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7C3AED"/>
      <rgbColor rgb="FFFFFFF0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F1F3A"/>
      <rgbColor rgb="FF339966"/>
      <rgbColor rgb="FF003300"/>
      <rgbColor rgb="FF333300"/>
      <rgbColor rgb="FF993300"/>
      <rgbColor rgb="FF993366"/>
      <rgbColor rgb="FF47556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C2626"/>
  </sheetPr>
  <dimension ref="A1:D27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30" customWidth="1"/>
    <col min="2" max="2" width="70" customWidth="1"/>
  </cols>
  <sheetData>
    <row r="1" spans="1:4" ht="19.5" customHeight="1" x14ac:dyDescent="0.2">
      <c r="A1" s="5" t="s">
        <v>0</v>
      </c>
      <c r="B1" s="5"/>
      <c r="C1" s="5"/>
      <c r="D1" s="5"/>
    </row>
    <row r="3" spans="1:4" ht="15" customHeight="1" x14ac:dyDescent="0.2">
      <c r="B3" s="6"/>
    </row>
    <row r="4" spans="1:4" ht="15" customHeight="1" x14ac:dyDescent="0.2">
      <c r="A4" s="7" t="s">
        <v>1</v>
      </c>
    </row>
    <row r="5" spans="1:4" ht="15" customHeight="1" x14ac:dyDescent="0.2">
      <c r="B5" s="6"/>
    </row>
    <row r="6" spans="1:4" ht="15" customHeight="1" x14ac:dyDescent="0.2">
      <c r="A6" s="8" t="s">
        <v>2</v>
      </c>
      <c r="B6" s="9" t="s">
        <v>3</v>
      </c>
    </row>
    <row r="7" spans="1:4" ht="15" customHeight="1" x14ac:dyDescent="0.2">
      <c r="B7" s="6" t="s">
        <v>4</v>
      </c>
    </row>
    <row r="8" spans="1:4" ht="15" customHeight="1" x14ac:dyDescent="0.2">
      <c r="B8" s="6"/>
    </row>
    <row r="9" spans="1:4" ht="15" customHeight="1" x14ac:dyDescent="0.2">
      <c r="A9" s="8" t="s">
        <v>5</v>
      </c>
      <c r="B9" s="9" t="s">
        <v>6</v>
      </c>
    </row>
    <row r="10" spans="1:4" ht="15" customHeight="1" x14ac:dyDescent="0.2">
      <c r="B10" s="6" t="s">
        <v>7</v>
      </c>
    </row>
    <row r="11" spans="1:4" ht="15" customHeight="1" x14ac:dyDescent="0.2">
      <c r="B11" s="6"/>
    </row>
    <row r="12" spans="1:4" ht="15" customHeight="1" x14ac:dyDescent="0.2">
      <c r="A12" s="8" t="s">
        <v>8</v>
      </c>
      <c r="B12" s="9" t="s">
        <v>9</v>
      </c>
    </row>
    <row r="13" spans="1:4" ht="15" customHeight="1" x14ac:dyDescent="0.2">
      <c r="B13" s="6"/>
    </row>
    <row r="14" spans="1:4" ht="15" customHeight="1" x14ac:dyDescent="0.2">
      <c r="A14" s="8" t="s">
        <v>10</v>
      </c>
      <c r="B14" s="9" t="s">
        <v>11</v>
      </c>
    </row>
    <row r="15" spans="1:4" ht="15" customHeight="1" x14ac:dyDescent="0.2">
      <c r="B15" s="6"/>
    </row>
    <row r="16" spans="1:4" ht="15" customHeight="1" x14ac:dyDescent="0.2">
      <c r="A16" s="8" t="s">
        <v>12</v>
      </c>
      <c r="B16" s="9" t="s">
        <v>13</v>
      </c>
    </row>
    <row r="17" spans="1:2" ht="15" customHeight="1" x14ac:dyDescent="0.2">
      <c r="B17" s="6"/>
    </row>
    <row r="18" spans="1:2" ht="15" customHeight="1" x14ac:dyDescent="0.2">
      <c r="A18" s="7" t="s">
        <v>14</v>
      </c>
      <c r="B18" t="s">
        <v>15</v>
      </c>
    </row>
    <row r="19" spans="1:2" ht="15" customHeight="1" x14ac:dyDescent="0.2">
      <c r="A19" s="8" t="s">
        <v>16</v>
      </c>
      <c r="B19" s="9" t="s">
        <v>17</v>
      </c>
    </row>
    <row r="20" spans="1:2" ht="15" customHeight="1" x14ac:dyDescent="0.2">
      <c r="A20" s="8" t="s">
        <v>18</v>
      </c>
      <c r="B20" s="9" t="s">
        <v>19</v>
      </c>
    </row>
    <row r="21" spans="1:2" ht="15" customHeight="1" x14ac:dyDescent="0.2">
      <c r="A21" s="8" t="s">
        <v>20</v>
      </c>
      <c r="B21" s="9" t="s">
        <v>21</v>
      </c>
    </row>
    <row r="22" spans="1:2" ht="15" customHeight="1" x14ac:dyDescent="0.2">
      <c r="B22" s="6"/>
    </row>
    <row r="23" spans="1:2" ht="15" customHeight="1" x14ac:dyDescent="0.2">
      <c r="A23" s="8" t="s">
        <v>22</v>
      </c>
      <c r="B23" s="9" t="s">
        <v>23</v>
      </c>
    </row>
    <row r="24" spans="1:2" ht="15" customHeight="1" x14ac:dyDescent="0.2">
      <c r="B24" s="6" t="s">
        <v>24</v>
      </c>
    </row>
    <row r="25" spans="1:2" ht="15" customHeight="1" x14ac:dyDescent="0.2">
      <c r="B25" s="6"/>
    </row>
    <row r="26" spans="1:2" ht="15" customHeight="1" x14ac:dyDescent="0.2">
      <c r="A26" s="8" t="s">
        <v>14</v>
      </c>
      <c r="B26" s="9" t="s">
        <v>25</v>
      </c>
    </row>
    <row r="27" spans="1:2" ht="15" customHeight="1" x14ac:dyDescent="0.2">
      <c r="B27" s="6" t="s">
        <v>26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1F3A"/>
  </sheetPr>
  <dimension ref="A1:G45"/>
  <sheetViews>
    <sheetView tabSelected="1" zoomScaleNormal="100" workbookViewId="0">
      <pane ySplit="4" topLeftCell="A7" activePane="bottomLeft" state="frozen"/>
      <selection pane="bottomLeft" sqref="A1:F1"/>
    </sheetView>
  </sheetViews>
  <sheetFormatPr baseColWidth="10" defaultColWidth="8.6640625" defaultRowHeight="15" x14ac:dyDescent="0.2"/>
  <cols>
    <col min="1" max="1" width="32" customWidth="1"/>
    <col min="2" max="3" width="10" customWidth="1"/>
    <col min="4" max="5" width="12" customWidth="1"/>
    <col min="6" max="6" width="22" customWidth="1"/>
    <col min="7" max="7" width="25" customWidth="1"/>
  </cols>
  <sheetData>
    <row r="1" spans="1:7" ht="17.25" customHeight="1" x14ac:dyDescent="0.2">
      <c r="A1" s="4" t="s">
        <v>27</v>
      </c>
      <c r="B1" s="4"/>
      <c r="C1" s="4"/>
      <c r="D1" s="4"/>
      <c r="E1" s="4"/>
      <c r="F1" s="4"/>
    </row>
    <row r="2" spans="1:7" ht="15" customHeight="1" x14ac:dyDescent="0.2">
      <c r="A2" s="3" t="s">
        <v>28</v>
      </c>
      <c r="B2" s="3"/>
      <c r="C2" s="3"/>
      <c r="D2" s="3"/>
      <c r="E2" s="3"/>
      <c r="F2" s="3"/>
    </row>
    <row r="4" spans="1:7" ht="15" customHeight="1" x14ac:dyDescent="0.2">
      <c r="A4" s="12" t="s">
        <v>29</v>
      </c>
      <c r="B4" s="12" t="s">
        <v>30</v>
      </c>
      <c r="C4" s="12" t="s">
        <v>31</v>
      </c>
      <c r="D4" s="12" t="s">
        <v>32</v>
      </c>
      <c r="E4" s="12" t="s">
        <v>33</v>
      </c>
      <c r="F4" s="12" t="s">
        <v>34</v>
      </c>
      <c r="G4" s="12" t="s">
        <v>35</v>
      </c>
    </row>
    <row r="5" spans="1:7" ht="15" customHeight="1" x14ac:dyDescent="0.2">
      <c r="A5" s="13" t="s">
        <v>36</v>
      </c>
      <c r="B5" s="13" t="s">
        <v>37</v>
      </c>
      <c r="C5" s="13" t="s">
        <v>38</v>
      </c>
      <c r="D5" s="14" t="s">
        <v>39</v>
      </c>
      <c r="E5" s="15">
        <v>1734334</v>
      </c>
      <c r="F5" s="16">
        <f t="shared" ref="F5:F38" si="0">IF(E5="","",E5*1.3699)</f>
        <v>2375864.1465999996</v>
      </c>
      <c r="G5" s="17"/>
    </row>
    <row r="6" spans="1:7" ht="15" customHeight="1" x14ac:dyDescent="0.2">
      <c r="A6" s="13" t="s">
        <v>40</v>
      </c>
      <c r="B6" s="13" t="s">
        <v>37</v>
      </c>
      <c r="C6" s="13" t="s">
        <v>38</v>
      </c>
      <c r="D6" s="14" t="s">
        <v>39</v>
      </c>
      <c r="E6" s="15">
        <v>1168073</v>
      </c>
      <c r="F6" s="16">
        <f t="shared" si="0"/>
        <v>1600143.2026999998</v>
      </c>
      <c r="G6" s="17"/>
    </row>
    <row r="7" spans="1:7" ht="15" customHeight="1" x14ac:dyDescent="0.2">
      <c r="A7" s="13" t="s">
        <v>41</v>
      </c>
      <c r="B7" s="13" t="s">
        <v>37</v>
      </c>
      <c r="C7" s="13" t="s">
        <v>38</v>
      </c>
      <c r="D7" s="14" t="s">
        <v>39</v>
      </c>
      <c r="E7" s="15"/>
      <c r="F7" s="16" t="str">
        <f t="shared" si="0"/>
        <v/>
      </c>
      <c r="G7" s="17"/>
    </row>
    <row r="8" spans="1:7" ht="15" customHeight="1" x14ac:dyDescent="0.2">
      <c r="A8" s="13" t="s">
        <v>42</v>
      </c>
      <c r="B8" s="13" t="s">
        <v>37</v>
      </c>
      <c r="C8" s="13" t="s">
        <v>38</v>
      </c>
      <c r="D8" s="14" t="s">
        <v>39</v>
      </c>
      <c r="E8" s="15">
        <v>1003929.5</v>
      </c>
      <c r="F8" s="16">
        <f t="shared" si="0"/>
        <v>1375283.0220499998</v>
      </c>
      <c r="G8" s="17"/>
    </row>
    <row r="9" spans="1:7" ht="15" customHeight="1" x14ac:dyDescent="0.2">
      <c r="A9" s="13" t="s">
        <v>43</v>
      </c>
      <c r="B9" s="13" t="s">
        <v>37</v>
      </c>
      <c r="C9" s="13" t="s">
        <v>38</v>
      </c>
      <c r="D9" s="14" t="s">
        <v>39</v>
      </c>
      <c r="E9" s="15">
        <v>1236510.5</v>
      </c>
      <c r="F9" s="16">
        <f t="shared" si="0"/>
        <v>1693895.7339499998</v>
      </c>
      <c r="G9" s="17"/>
    </row>
    <row r="10" spans="1:7" ht="15" customHeight="1" x14ac:dyDescent="0.2">
      <c r="A10" s="13" t="s">
        <v>44</v>
      </c>
      <c r="B10" s="13" t="s">
        <v>37</v>
      </c>
      <c r="C10" s="13" t="s">
        <v>38</v>
      </c>
      <c r="D10" s="14" t="s">
        <v>39</v>
      </c>
      <c r="E10" s="15">
        <v>5510478</v>
      </c>
      <c r="F10" s="16">
        <f t="shared" si="0"/>
        <v>7548803.8121999996</v>
      </c>
      <c r="G10" s="17"/>
    </row>
    <row r="11" spans="1:7" ht="15" customHeight="1" x14ac:dyDescent="0.2">
      <c r="A11" s="13" t="s">
        <v>45</v>
      </c>
      <c r="B11" s="13" t="s">
        <v>37</v>
      </c>
      <c r="C11" s="13" t="s">
        <v>38</v>
      </c>
      <c r="D11" s="14" t="s">
        <v>39</v>
      </c>
      <c r="E11" s="15">
        <v>2307405.5</v>
      </c>
      <c r="F11" s="16">
        <f t="shared" si="0"/>
        <v>3160914.7944499999</v>
      </c>
      <c r="G11" s="17"/>
    </row>
    <row r="12" spans="1:7" ht="15" customHeight="1" x14ac:dyDescent="0.2">
      <c r="A12" s="13" t="s">
        <v>46</v>
      </c>
      <c r="B12" s="13" t="s">
        <v>37</v>
      </c>
      <c r="C12" s="13" t="s">
        <v>38</v>
      </c>
      <c r="D12" s="14" t="s">
        <v>39</v>
      </c>
      <c r="E12" s="15">
        <v>1795191.18</v>
      </c>
      <c r="F12" s="16">
        <f t="shared" si="0"/>
        <v>2459232.3974819998</v>
      </c>
      <c r="G12" s="17"/>
    </row>
    <row r="13" spans="1:7" ht="15" customHeight="1" x14ac:dyDescent="0.2">
      <c r="A13" s="13" t="s">
        <v>47</v>
      </c>
      <c r="B13" s="13" t="s">
        <v>37</v>
      </c>
      <c r="C13" s="13" t="s">
        <v>38</v>
      </c>
      <c r="D13" s="14" t="s">
        <v>39</v>
      </c>
      <c r="E13" s="15"/>
      <c r="F13" s="16" t="str">
        <f t="shared" si="0"/>
        <v/>
      </c>
      <c r="G13" s="17"/>
    </row>
    <row r="14" spans="1:7" ht="15" customHeight="1" x14ac:dyDescent="0.2">
      <c r="A14" s="13" t="s">
        <v>48</v>
      </c>
      <c r="B14" s="13" t="s">
        <v>37</v>
      </c>
      <c r="C14" s="13" t="s">
        <v>38</v>
      </c>
      <c r="D14" s="14" t="s">
        <v>39</v>
      </c>
      <c r="E14" s="15">
        <v>1516940</v>
      </c>
      <c r="F14" s="16">
        <f t="shared" si="0"/>
        <v>2078056.1059999999</v>
      </c>
      <c r="G14" s="17"/>
    </row>
    <row r="15" spans="1:7" ht="15" customHeight="1" x14ac:dyDescent="0.2">
      <c r="A15" s="13" t="s">
        <v>49</v>
      </c>
      <c r="B15" s="13" t="s">
        <v>37</v>
      </c>
      <c r="C15" s="13" t="s">
        <v>38</v>
      </c>
      <c r="D15" s="14" t="s">
        <v>39</v>
      </c>
      <c r="E15" s="15">
        <v>809752.5</v>
      </c>
      <c r="F15" s="16">
        <f t="shared" si="0"/>
        <v>1109279.9497499999</v>
      </c>
      <c r="G15" s="17"/>
    </row>
    <row r="16" spans="1:7" ht="15" customHeight="1" x14ac:dyDescent="0.2">
      <c r="A16" s="13" t="s">
        <v>50</v>
      </c>
      <c r="B16" s="13" t="s">
        <v>51</v>
      </c>
      <c r="C16" s="13" t="s">
        <v>52</v>
      </c>
      <c r="D16" s="14" t="s">
        <v>53</v>
      </c>
      <c r="E16" s="15"/>
      <c r="F16" s="16" t="str">
        <f t="shared" si="0"/>
        <v/>
      </c>
      <c r="G16" s="17"/>
    </row>
    <row r="17" spans="1:7" ht="15" customHeight="1" x14ac:dyDescent="0.2">
      <c r="A17" s="13" t="s">
        <v>54</v>
      </c>
      <c r="B17" s="13" t="s">
        <v>51</v>
      </c>
      <c r="C17" s="13" t="s">
        <v>52</v>
      </c>
      <c r="D17" s="14" t="s">
        <v>39</v>
      </c>
      <c r="E17" s="15"/>
      <c r="F17" s="16" t="str">
        <f t="shared" si="0"/>
        <v/>
      </c>
      <c r="G17" s="17"/>
    </row>
    <row r="18" spans="1:7" ht="15" customHeight="1" x14ac:dyDescent="0.2">
      <c r="A18" s="13" t="s">
        <v>55</v>
      </c>
      <c r="B18" s="13" t="s">
        <v>51</v>
      </c>
      <c r="C18" s="13" t="s">
        <v>52</v>
      </c>
      <c r="D18" s="14" t="s">
        <v>53</v>
      </c>
      <c r="E18" s="15"/>
      <c r="F18" s="16" t="str">
        <f t="shared" si="0"/>
        <v/>
      </c>
      <c r="G18" s="17"/>
    </row>
    <row r="19" spans="1:7" ht="15" customHeight="1" x14ac:dyDescent="0.2">
      <c r="A19" s="13" t="s">
        <v>56</v>
      </c>
      <c r="B19" s="13" t="s">
        <v>51</v>
      </c>
      <c r="C19" s="13" t="s">
        <v>52</v>
      </c>
      <c r="D19" s="14" t="s">
        <v>39</v>
      </c>
      <c r="E19" s="15">
        <v>218738.09</v>
      </c>
      <c r="F19" s="16">
        <f t="shared" si="0"/>
        <v>299649.30949099996</v>
      </c>
      <c r="G19" s="17"/>
    </row>
    <row r="20" spans="1:7" ht="15" customHeight="1" x14ac:dyDescent="0.2">
      <c r="A20" s="13" t="s">
        <v>57</v>
      </c>
      <c r="B20" s="13" t="s">
        <v>51</v>
      </c>
      <c r="C20" s="13" t="s">
        <v>52</v>
      </c>
      <c r="D20" s="14" t="s">
        <v>53</v>
      </c>
      <c r="E20" s="15"/>
      <c r="F20" s="16" t="str">
        <f t="shared" si="0"/>
        <v/>
      </c>
      <c r="G20" s="17"/>
    </row>
    <row r="21" spans="1:7" ht="15" customHeight="1" x14ac:dyDescent="0.2">
      <c r="A21" s="13" t="s">
        <v>58</v>
      </c>
      <c r="B21" s="13" t="s">
        <v>51</v>
      </c>
      <c r="C21" s="13" t="s">
        <v>52</v>
      </c>
      <c r="D21" s="14" t="s">
        <v>39</v>
      </c>
      <c r="E21" s="15">
        <v>9049259</v>
      </c>
      <c r="F21" s="16">
        <f t="shared" si="0"/>
        <v>12396579.904099999</v>
      </c>
      <c r="G21" s="17"/>
    </row>
    <row r="22" spans="1:7" ht="15" customHeight="1" x14ac:dyDescent="0.2">
      <c r="A22" s="13" t="s">
        <v>59</v>
      </c>
      <c r="B22" s="13" t="s">
        <v>51</v>
      </c>
      <c r="C22" s="13" t="s">
        <v>52</v>
      </c>
      <c r="D22" s="14" t="s">
        <v>53</v>
      </c>
      <c r="E22" s="15"/>
      <c r="F22" s="16" t="str">
        <f t="shared" si="0"/>
        <v/>
      </c>
      <c r="G22" s="17"/>
    </row>
    <row r="23" spans="1:7" ht="15" customHeight="1" x14ac:dyDescent="0.2">
      <c r="A23" s="13" t="s">
        <v>60</v>
      </c>
      <c r="B23" s="13" t="s">
        <v>51</v>
      </c>
      <c r="C23" s="13" t="s">
        <v>52</v>
      </c>
      <c r="D23" s="14" t="s">
        <v>53</v>
      </c>
      <c r="E23" s="15"/>
      <c r="F23" s="16" t="str">
        <f t="shared" si="0"/>
        <v/>
      </c>
      <c r="G23" s="17"/>
    </row>
    <row r="24" spans="1:7" ht="15" customHeight="1" x14ac:dyDescent="0.2">
      <c r="A24" s="13" t="s">
        <v>61</v>
      </c>
      <c r="B24" s="13" t="s">
        <v>51</v>
      </c>
      <c r="C24" s="13" t="s">
        <v>52</v>
      </c>
      <c r="D24" s="14" t="s">
        <v>39</v>
      </c>
      <c r="E24" s="15">
        <v>1742900</v>
      </c>
      <c r="F24" s="16">
        <f t="shared" si="0"/>
        <v>2387598.71</v>
      </c>
      <c r="G24" s="17"/>
    </row>
    <row r="25" spans="1:7" ht="15" customHeight="1" x14ac:dyDescent="0.2">
      <c r="A25" s="13" t="s">
        <v>62</v>
      </c>
      <c r="B25" s="13" t="s">
        <v>51</v>
      </c>
      <c r="C25" s="13" t="s">
        <v>52</v>
      </c>
      <c r="D25" s="14" t="s">
        <v>63</v>
      </c>
      <c r="E25" s="15"/>
      <c r="F25" s="16" t="str">
        <f t="shared" si="0"/>
        <v/>
      </c>
      <c r="G25" s="17"/>
    </row>
    <row r="26" spans="1:7" ht="15" customHeight="1" x14ac:dyDescent="0.2">
      <c r="A26" s="13" t="s">
        <v>64</v>
      </c>
      <c r="B26" s="13" t="s">
        <v>51</v>
      </c>
      <c r="C26" s="13" t="s">
        <v>52</v>
      </c>
      <c r="D26" s="14" t="s">
        <v>53</v>
      </c>
      <c r="E26" s="15"/>
      <c r="F26" s="16" t="str">
        <f t="shared" si="0"/>
        <v/>
      </c>
      <c r="G26" s="17"/>
    </row>
    <row r="27" spans="1:7" ht="15" customHeight="1" x14ac:dyDescent="0.2">
      <c r="A27" s="13" t="s">
        <v>65</v>
      </c>
      <c r="B27" s="13" t="s">
        <v>51</v>
      </c>
      <c r="C27" s="13" t="s">
        <v>52</v>
      </c>
      <c r="D27" s="14" t="s">
        <v>63</v>
      </c>
      <c r="E27" s="15">
        <v>1526577</v>
      </c>
      <c r="F27" s="16">
        <f t="shared" si="0"/>
        <v>2091257.8322999999</v>
      </c>
      <c r="G27" s="17"/>
    </row>
    <row r="28" spans="1:7" ht="15" customHeight="1" x14ac:dyDescent="0.2">
      <c r="A28" s="13" t="s">
        <v>66</v>
      </c>
      <c r="B28" s="13" t="s">
        <v>51</v>
      </c>
      <c r="C28" s="13" t="s">
        <v>52</v>
      </c>
      <c r="D28" s="14" t="s">
        <v>39</v>
      </c>
      <c r="E28" s="15">
        <v>309118.55</v>
      </c>
      <c r="F28" s="16">
        <f t="shared" si="0"/>
        <v>423461.50164499995</v>
      </c>
      <c r="G28" s="17"/>
    </row>
    <row r="29" spans="1:7" ht="15" customHeight="1" x14ac:dyDescent="0.2">
      <c r="A29" s="13" t="s">
        <v>67</v>
      </c>
      <c r="B29" s="13" t="s">
        <v>51</v>
      </c>
      <c r="C29" s="13" t="s">
        <v>52</v>
      </c>
      <c r="D29" s="14" t="s">
        <v>39</v>
      </c>
      <c r="E29" s="15">
        <v>1805680.19</v>
      </c>
      <c r="F29" s="16">
        <f t="shared" si="0"/>
        <v>2473601.2922809999</v>
      </c>
      <c r="G29" s="17"/>
    </row>
    <row r="30" spans="1:7" ht="15" customHeight="1" x14ac:dyDescent="0.2">
      <c r="A30" s="13" t="s">
        <v>68</v>
      </c>
      <c r="B30" s="13" t="s">
        <v>69</v>
      </c>
      <c r="C30" s="13" t="s">
        <v>69</v>
      </c>
      <c r="D30" s="14" t="s">
        <v>39</v>
      </c>
      <c r="E30" s="15"/>
      <c r="F30" s="16" t="str">
        <f t="shared" si="0"/>
        <v/>
      </c>
      <c r="G30" s="17"/>
    </row>
    <row r="31" spans="1:7" ht="15" customHeight="1" x14ac:dyDescent="0.2">
      <c r="A31" s="13" t="s">
        <v>70</v>
      </c>
      <c r="B31" s="13" t="s">
        <v>69</v>
      </c>
      <c r="C31" s="13" t="s">
        <v>69</v>
      </c>
      <c r="D31" s="14" t="s">
        <v>39</v>
      </c>
      <c r="E31" s="15"/>
      <c r="F31" s="16" t="str">
        <f t="shared" si="0"/>
        <v/>
      </c>
      <c r="G31" s="17"/>
    </row>
    <row r="32" spans="1:7" ht="15" customHeight="1" x14ac:dyDescent="0.2">
      <c r="A32" s="13" t="s">
        <v>71</v>
      </c>
      <c r="B32" s="13" t="s">
        <v>69</v>
      </c>
      <c r="C32" s="13" t="s">
        <v>69</v>
      </c>
      <c r="D32" s="14" t="s">
        <v>39</v>
      </c>
      <c r="E32" s="15"/>
      <c r="F32" s="16" t="str">
        <f t="shared" si="0"/>
        <v/>
      </c>
      <c r="G32" s="17"/>
    </row>
    <row r="33" spans="1:7" ht="15" customHeight="1" x14ac:dyDescent="0.2">
      <c r="A33" s="13" t="s">
        <v>72</v>
      </c>
      <c r="B33" s="13" t="s">
        <v>69</v>
      </c>
      <c r="C33" s="13" t="s">
        <v>69</v>
      </c>
      <c r="D33" s="14" t="s">
        <v>39</v>
      </c>
      <c r="E33" s="15"/>
      <c r="F33" s="16" t="str">
        <f t="shared" si="0"/>
        <v/>
      </c>
      <c r="G33" s="17"/>
    </row>
    <row r="34" spans="1:7" ht="15" customHeight="1" x14ac:dyDescent="0.2">
      <c r="A34" s="13" t="s">
        <v>73</v>
      </c>
      <c r="B34" s="13" t="s">
        <v>69</v>
      </c>
      <c r="C34" s="13" t="s">
        <v>69</v>
      </c>
      <c r="D34" s="14" t="s">
        <v>39</v>
      </c>
      <c r="E34" s="15"/>
      <c r="F34" s="16" t="str">
        <f t="shared" si="0"/>
        <v/>
      </c>
      <c r="G34" s="17"/>
    </row>
    <row r="35" spans="1:7" ht="15" customHeight="1" x14ac:dyDescent="0.2">
      <c r="A35" s="13" t="s">
        <v>74</v>
      </c>
      <c r="B35" s="13" t="s">
        <v>69</v>
      </c>
      <c r="C35" s="13" t="s">
        <v>69</v>
      </c>
      <c r="D35" s="14" t="s">
        <v>39</v>
      </c>
      <c r="E35" s="15"/>
      <c r="F35" s="16" t="str">
        <f t="shared" si="0"/>
        <v/>
      </c>
      <c r="G35" s="17"/>
    </row>
    <row r="36" spans="1:7" ht="15" customHeight="1" x14ac:dyDescent="0.2">
      <c r="A36" s="13" t="s">
        <v>75</v>
      </c>
      <c r="B36" s="13" t="s">
        <v>69</v>
      </c>
      <c r="C36" s="13" t="s">
        <v>69</v>
      </c>
      <c r="D36" s="14" t="s">
        <v>39</v>
      </c>
      <c r="E36" s="15"/>
      <c r="F36" s="16" t="str">
        <f t="shared" si="0"/>
        <v/>
      </c>
      <c r="G36" s="17"/>
    </row>
    <row r="37" spans="1:7" ht="15" customHeight="1" x14ac:dyDescent="0.2">
      <c r="A37" s="13" t="s">
        <v>76</v>
      </c>
      <c r="B37" s="13" t="s">
        <v>69</v>
      </c>
      <c r="C37" s="13" t="s">
        <v>69</v>
      </c>
      <c r="D37" s="14" t="s">
        <v>39</v>
      </c>
      <c r="E37" s="15"/>
      <c r="F37" s="16" t="str">
        <f t="shared" si="0"/>
        <v/>
      </c>
      <c r="G37" s="17"/>
    </row>
    <row r="38" spans="1:7" ht="15" customHeight="1" x14ac:dyDescent="0.2">
      <c r="A38" s="13" t="s">
        <v>77</v>
      </c>
      <c r="B38" s="18" t="s">
        <v>69</v>
      </c>
      <c r="C38" s="18" t="s">
        <v>69</v>
      </c>
      <c r="D38" s="14" t="s">
        <v>39</v>
      </c>
      <c r="E38" s="15"/>
      <c r="F38" s="16" t="str">
        <f t="shared" si="0"/>
        <v/>
      </c>
      <c r="G38" s="17"/>
    </row>
    <row r="39" spans="1:7" x14ac:dyDescent="0.2">
      <c r="A39" s="19"/>
      <c r="B39" s="19"/>
      <c r="C39" s="19"/>
      <c r="D39" s="19"/>
      <c r="E39" s="19"/>
      <c r="F39" s="19"/>
    </row>
    <row r="40" spans="1:7" ht="15" customHeight="1" x14ac:dyDescent="0.2">
      <c r="A40" s="20" t="s">
        <v>78</v>
      </c>
      <c r="B40" s="21"/>
      <c r="C40" s="21"/>
      <c r="D40" s="22"/>
      <c r="E40" s="23">
        <f>SUM(E5:E38)</f>
        <v>31734887.010000002</v>
      </c>
      <c r="F40" s="23">
        <f>SUM(F5:F38)</f>
        <v>43473621.714998998</v>
      </c>
      <c r="G40" s="17"/>
    </row>
    <row r="41" spans="1:7" ht="15" customHeight="1" x14ac:dyDescent="0.2">
      <c r="A41" s="24"/>
      <c r="B41" s="19"/>
      <c r="C41" s="19"/>
      <c r="D41" s="25"/>
      <c r="E41" s="19"/>
      <c r="F41" s="19"/>
    </row>
    <row r="42" spans="1:7" ht="15" customHeight="1" x14ac:dyDescent="0.2">
      <c r="A42" s="20" t="s">
        <v>79</v>
      </c>
      <c r="B42" s="21"/>
      <c r="C42" s="21"/>
      <c r="D42" s="22"/>
      <c r="E42" s="23">
        <f>SUMIFS(E5:E38,B5:B38,"CAN")</f>
        <v>17082614.18</v>
      </c>
      <c r="F42" s="23">
        <f>SUMIFS(F5:F38,B5:B38,"CAN")</f>
        <v>23401473.165181998</v>
      </c>
      <c r="G42" s="17"/>
    </row>
    <row r="43" spans="1:7" x14ac:dyDescent="0.2">
      <c r="A43" s="26" t="s">
        <v>80</v>
      </c>
      <c r="B43" s="17"/>
      <c r="C43" s="17"/>
      <c r="D43" s="17"/>
      <c r="E43" s="23">
        <f>SUMIFS(E5:E38,B5:B38,"USA")</f>
        <v>14652272.83</v>
      </c>
      <c r="F43" s="23">
        <f>SUMIFS(F5:F38,B5:B38,"USA")</f>
        <v>20072148.549816996</v>
      </c>
      <c r="G43" s="17"/>
    </row>
    <row r="44" spans="1:7" x14ac:dyDescent="0.2">
      <c r="A44" s="26" t="s">
        <v>81</v>
      </c>
      <c r="B44" s="17"/>
      <c r="C44" s="17"/>
      <c r="D44" s="17"/>
      <c r="E44" s="23">
        <f>SUMIFS(E5:E38,B5:B38,"EU")</f>
        <v>0</v>
      </c>
      <c r="F44" s="23">
        <f>SUMIFS(F5:F38,B5:B38,"EU")</f>
        <v>0</v>
      </c>
      <c r="G44" s="17"/>
    </row>
    <row r="45" spans="1:7" x14ac:dyDescent="0.2">
      <c r="A45" s="26" t="s">
        <v>82</v>
      </c>
      <c r="B45" s="17"/>
      <c r="C45" s="17"/>
      <c r="D45" s="17"/>
      <c r="E45" s="23">
        <f>SUMIFS(E5:E38,B5:B38,"ROW")</f>
        <v>0</v>
      </c>
      <c r="F45" s="23">
        <f>SUMIFS(F5:F38,B5:B38,"ROW")</f>
        <v>0</v>
      </c>
      <c r="G45" s="17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A1:H40"/>
  <sheetViews>
    <sheetView zoomScaleNormal="100" workbookViewId="0">
      <pane xSplit="1" ySplit="4" topLeftCell="B11" activePane="bottomRight" state="frozen"/>
      <selection pane="topRight" activeCell="B1" sqref="B1"/>
      <selection pane="bottomLeft" activeCell="A5" sqref="A5"/>
      <selection pane="bottomRight" sqref="A1:H1"/>
    </sheetView>
  </sheetViews>
  <sheetFormatPr baseColWidth="10" defaultColWidth="8.6640625" defaultRowHeight="15" x14ac:dyDescent="0.2"/>
  <cols>
    <col min="1" max="1" width="32" customWidth="1"/>
    <col min="2" max="8" width="18" customWidth="1"/>
  </cols>
  <sheetData>
    <row r="1" spans="1:8" ht="17.25" customHeight="1" x14ac:dyDescent="0.2">
      <c r="A1" s="2" t="s">
        <v>83</v>
      </c>
      <c r="B1" s="2"/>
      <c r="C1" s="2"/>
      <c r="D1" s="2"/>
      <c r="E1" s="2"/>
      <c r="F1" s="2"/>
      <c r="G1" s="2"/>
      <c r="H1" s="2"/>
    </row>
    <row r="2" spans="1:8" ht="15" customHeight="1" x14ac:dyDescent="0.2">
      <c r="A2" s="1" t="s">
        <v>84</v>
      </c>
      <c r="B2" s="1"/>
      <c r="C2" s="1"/>
      <c r="D2" s="1"/>
      <c r="E2" s="1"/>
      <c r="F2" s="1"/>
      <c r="G2" s="1"/>
      <c r="H2" s="1"/>
    </row>
    <row r="4" spans="1:8" ht="15" customHeight="1" x14ac:dyDescent="0.2">
      <c r="A4" s="12" t="s">
        <v>29</v>
      </c>
      <c r="B4" s="12" t="s">
        <v>85</v>
      </c>
      <c r="C4" s="12" t="s">
        <v>86</v>
      </c>
      <c r="D4" s="12" t="s">
        <v>87</v>
      </c>
      <c r="E4" s="12" t="s">
        <v>88</v>
      </c>
      <c r="F4" s="12" t="s">
        <v>89</v>
      </c>
      <c r="G4" s="12" t="s">
        <v>90</v>
      </c>
      <c r="H4" s="12" t="s">
        <v>91</v>
      </c>
    </row>
    <row r="5" spans="1:8" ht="15" customHeight="1" x14ac:dyDescent="0.2">
      <c r="A5" s="13" t="s">
        <v>36</v>
      </c>
      <c r="B5" s="15">
        <v>639115</v>
      </c>
      <c r="C5" s="15">
        <v>173740</v>
      </c>
      <c r="D5" s="15">
        <v>250400.95</v>
      </c>
      <c r="E5" s="15">
        <v>261705</v>
      </c>
      <c r="F5" s="15">
        <v>277400</v>
      </c>
      <c r="G5" s="14">
        <f t="shared" ref="G5:G38" si="0">SUM(B5:F5)</f>
        <v>1602360.95</v>
      </c>
      <c r="H5" s="27">
        <f>'BY REP'!E5</f>
        <v>1734334</v>
      </c>
    </row>
    <row r="6" spans="1:8" ht="15" customHeight="1" x14ac:dyDescent="0.2">
      <c r="A6" s="13" t="s">
        <v>40</v>
      </c>
      <c r="B6" s="15">
        <v>473405</v>
      </c>
      <c r="C6" s="15">
        <v>85045</v>
      </c>
      <c r="D6" s="15">
        <v>199655</v>
      </c>
      <c r="E6" s="15">
        <v>98550</v>
      </c>
      <c r="F6" s="15">
        <v>159870</v>
      </c>
      <c r="G6" s="14">
        <f t="shared" si="0"/>
        <v>1016525</v>
      </c>
      <c r="H6" s="27">
        <f>'BY REP'!E6</f>
        <v>1168073</v>
      </c>
    </row>
    <row r="7" spans="1:8" ht="15" customHeight="1" x14ac:dyDescent="0.2">
      <c r="A7" s="13" t="s">
        <v>41</v>
      </c>
      <c r="B7" s="15"/>
      <c r="C7" s="15"/>
      <c r="D7" s="15"/>
      <c r="E7" s="15"/>
      <c r="F7" s="15"/>
      <c r="G7" s="14">
        <f t="shared" si="0"/>
        <v>0</v>
      </c>
      <c r="H7" s="27">
        <f>'BY REP'!E7</f>
        <v>0</v>
      </c>
    </row>
    <row r="8" spans="1:8" ht="15" customHeight="1" x14ac:dyDescent="0.2">
      <c r="A8" s="13" t="s">
        <v>42</v>
      </c>
      <c r="B8" s="15">
        <v>495760</v>
      </c>
      <c r="C8" s="15">
        <v>57669.5</v>
      </c>
      <c r="D8" s="15">
        <v>152460</v>
      </c>
      <c r="E8" s="15">
        <v>40880</v>
      </c>
      <c r="F8" s="15">
        <v>108390</v>
      </c>
      <c r="G8" s="14">
        <f t="shared" si="0"/>
        <v>855159.5</v>
      </c>
      <c r="H8" s="27">
        <f>'BY REP'!E8</f>
        <v>1003929.5</v>
      </c>
    </row>
    <row r="9" spans="1:8" ht="15" customHeight="1" x14ac:dyDescent="0.2">
      <c r="A9" s="13" t="s">
        <v>43</v>
      </c>
      <c r="B9" s="15">
        <v>368650</v>
      </c>
      <c r="C9" s="15">
        <v>97309</v>
      </c>
      <c r="D9" s="15">
        <v>182500</v>
      </c>
      <c r="E9" s="15">
        <v>231775</v>
      </c>
      <c r="F9" s="15">
        <v>260245</v>
      </c>
      <c r="G9" s="14">
        <f t="shared" si="0"/>
        <v>1140479</v>
      </c>
      <c r="H9" s="27">
        <f>'BY REP'!E9</f>
        <v>1236510.5</v>
      </c>
    </row>
    <row r="10" spans="1:8" ht="15" customHeight="1" x14ac:dyDescent="0.2">
      <c r="A10" s="13" t="s">
        <v>44</v>
      </c>
      <c r="B10" s="15">
        <v>3538018</v>
      </c>
      <c r="C10" s="15">
        <v>213525</v>
      </c>
      <c r="D10" s="15">
        <v>335800</v>
      </c>
      <c r="E10" s="15">
        <v>43800</v>
      </c>
      <c r="F10" s="15">
        <v>551150</v>
      </c>
      <c r="G10" s="14">
        <f t="shared" si="0"/>
        <v>4682293</v>
      </c>
      <c r="H10" s="27">
        <f>'BY REP'!E10</f>
        <v>5510478</v>
      </c>
    </row>
    <row r="11" spans="1:8" ht="15" customHeight="1" x14ac:dyDescent="0.2">
      <c r="A11" s="13" t="s">
        <v>45</v>
      </c>
      <c r="B11" s="15">
        <v>813762.5</v>
      </c>
      <c r="C11" s="15">
        <v>85629</v>
      </c>
      <c r="D11" s="15">
        <v>587285</v>
      </c>
      <c r="E11" s="15">
        <v>176660</v>
      </c>
      <c r="F11" s="15">
        <v>370830</v>
      </c>
      <c r="G11" s="14">
        <f t="shared" si="0"/>
        <v>2034166.5</v>
      </c>
      <c r="H11" s="27">
        <f>'BY REP'!E11</f>
        <v>2307405.5</v>
      </c>
    </row>
    <row r="12" spans="1:8" ht="15" customHeight="1" x14ac:dyDescent="0.2">
      <c r="A12" s="13" t="s">
        <v>46</v>
      </c>
      <c r="B12" s="15">
        <v>728905</v>
      </c>
      <c r="C12" s="15">
        <v>140160</v>
      </c>
      <c r="D12" s="15">
        <v>370219.5</v>
      </c>
      <c r="E12" s="15">
        <v>116800</v>
      </c>
      <c r="F12" s="15">
        <v>251448.5</v>
      </c>
      <c r="G12" s="14">
        <f t="shared" si="0"/>
        <v>1607533</v>
      </c>
      <c r="H12" s="27">
        <f>'BY REP'!E12</f>
        <v>1795191.18</v>
      </c>
    </row>
    <row r="13" spans="1:8" ht="15" customHeight="1" x14ac:dyDescent="0.2">
      <c r="A13" s="13" t="s">
        <v>47</v>
      </c>
      <c r="B13" s="15"/>
      <c r="C13" s="15"/>
      <c r="D13" s="15"/>
      <c r="E13" s="15"/>
      <c r="F13" s="15"/>
      <c r="G13" s="14">
        <f t="shared" si="0"/>
        <v>0</v>
      </c>
      <c r="H13" s="27">
        <f>'BY REP'!E13</f>
        <v>0</v>
      </c>
    </row>
    <row r="14" spans="1:8" ht="15" customHeight="1" x14ac:dyDescent="0.2">
      <c r="A14" s="13" t="s">
        <v>48</v>
      </c>
      <c r="B14" s="15">
        <v>398653</v>
      </c>
      <c r="C14" s="15">
        <v>191771</v>
      </c>
      <c r="D14" s="15">
        <v>253857.5</v>
      </c>
      <c r="E14" s="15">
        <v>332880</v>
      </c>
      <c r="F14" s="15">
        <v>210970</v>
      </c>
      <c r="G14" s="14">
        <f t="shared" si="0"/>
        <v>1388131.5</v>
      </c>
      <c r="H14" s="27">
        <f>'BY REP'!E14</f>
        <v>1516940</v>
      </c>
    </row>
    <row r="15" spans="1:8" ht="15" customHeight="1" x14ac:dyDescent="0.2">
      <c r="A15" s="13" t="s">
        <v>49</v>
      </c>
      <c r="B15" s="15">
        <v>356605</v>
      </c>
      <c r="C15" s="15">
        <v>58035</v>
      </c>
      <c r="D15" s="15">
        <v>146000</v>
      </c>
      <c r="E15" s="15">
        <v>62050</v>
      </c>
      <c r="F15" s="15">
        <v>107675</v>
      </c>
      <c r="G15" s="14">
        <f t="shared" si="0"/>
        <v>730365</v>
      </c>
      <c r="H15" s="27">
        <f>'BY REP'!E15</f>
        <v>809752.5</v>
      </c>
    </row>
    <row r="16" spans="1:8" ht="15" customHeight="1" x14ac:dyDescent="0.2">
      <c r="A16" s="13" t="s">
        <v>50</v>
      </c>
      <c r="B16" s="15"/>
      <c r="C16" s="15"/>
      <c r="D16" s="15"/>
      <c r="E16" s="15"/>
      <c r="F16" s="15"/>
      <c r="G16" s="14">
        <f t="shared" si="0"/>
        <v>0</v>
      </c>
      <c r="H16" s="27">
        <f>'BY REP'!E16</f>
        <v>0</v>
      </c>
    </row>
    <row r="17" spans="1:8" ht="15" customHeight="1" x14ac:dyDescent="0.2">
      <c r="A17" s="13" t="s">
        <v>54</v>
      </c>
      <c r="B17" s="15"/>
      <c r="C17" s="15"/>
      <c r="D17" s="15"/>
      <c r="E17" s="15"/>
      <c r="F17" s="15"/>
      <c r="G17" s="14">
        <f t="shared" si="0"/>
        <v>0</v>
      </c>
      <c r="H17" s="27">
        <f>'BY REP'!E17</f>
        <v>0</v>
      </c>
    </row>
    <row r="18" spans="1:8" ht="15" customHeight="1" x14ac:dyDescent="0.2">
      <c r="A18" s="13" t="s">
        <v>55</v>
      </c>
      <c r="B18" s="15"/>
      <c r="C18" s="15"/>
      <c r="D18" s="15"/>
      <c r="E18" s="15"/>
      <c r="F18" s="15"/>
      <c r="G18" s="14">
        <f t="shared" si="0"/>
        <v>0</v>
      </c>
      <c r="H18" s="27">
        <f>'BY REP'!E18</f>
        <v>0</v>
      </c>
    </row>
    <row r="19" spans="1:8" ht="15" customHeight="1" x14ac:dyDescent="0.2">
      <c r="A19" s="13" t="s">
        <v>56</v>
      </c>
      <c r="B19" s="15">
        <v>67112.61</v>
      </c>
      <c r="C19" s="15">
        <v>3650</v>
      </c>
      <c r="D19" s="15">
        <v>96467</v>
      </c>
      <c r="E19" s="15">
        <v>0</v>
      </c>
      <c r="F19" s="15">
        <v>12298.05</v>
      </c>
      <c r="G19" s="14">
        <f t="shared" si="0"/>
        <v>179527.65999999997</v>
      </c>
      <c r="H19" s="27">
        <f>'BY REP'!E19</f>
        <v>218738.09</v>
      </c>
    </row>
    <row r="20" spans="1:8" ht="15" customHeight="1" x14ac:dyDescent="0.2">
      <c r="A20" s="13" t="s">
        <v>57</v>
      </c>
      <c r="B20" s="15"/>
      <c r="C20" s="15"/>
      <c r="D20" s="15"/>
      <c r="E20" s="15"/>
      <c r="F20" s="15"/>
      <c r="G20" s="14">
        <f t="shared" si="0"/>
        <v>0</v>
      </c>
      <c r="H20" s="27">
        <f>'BY REP'!E20</f>
        <v>0</v>
      </c>
    </row>
    <row r="21" spans="1:8" ht="15" customHeight="1" x14ac:dyDescent="0.2">
      <c r="A21" s="13" t="s">
        <v>58</v>
      </c>
      <c r="B21" s="15">
        <v>4696311.5199999996</v>
      </c>
      <c r="C21" s="15">
        <v>1363176.34</v>
      </c>
      <c r="D21" s="15">
        <v>207951.2</v>
      </c>
      <c r="E21" s="15">
        <v>846652.9</v>
      </c>
      <c r="F21" s="15">
        <v>1383843.8</v>
      </c>
      <c r="G21" s="14">
        <f t="shared" si="0"/>
        <v>8497935.7599999998</v>
      </c>
      <c r="H21" s="27">
        <f>'BY REP'!E21</f>
        <v>9049259</v>
      </c>
    </row>
    <row r="22" spans="1:8" ht="15" customHeight="1" x14ac:dyDescent="0.2">
      <c r="A22" s="13" t="s">
        <v>59</v>
      </c>
      <c r="B22" s="15"/>
      <c r="C22" s="15"/>
      <c r="D22" s="15"/>
      <c r="E22" s="15"/>
      <c r="F22" s="15"/>
      <c r="G22" s="14">
        <f t="shared" si="0"/>
        <v>0</v>
      </c>
      <c r="H22" s="27">
        <f>'BY REP'!E22</f>
        <v>0</v>
      </c>
    </row>
    <row r="23" spans="1:8" ht="15" customHeight="1" x14ac:dyDescent="0.2">
      <c r="A23" s="13" t="s">
        <v>60</v>
      </c>
      <c r="B23" s="15"/>
      <c r="C23" s="15"/>
      <c r="D23" s="15"/>
      <c r="E23" s="15"/>
      <c r="F23" s="15"/>
      <c r="G23" s="14">
        <f t="shared" si="0"/>
        <v>0</v>
      </c>
      <c r="H23" s="27">
        <f>'BY REP'!E23</f>
        <v>0</v>
      </c>
    </row>
    <row r="24" spans="1:8" ht="15" customHeight="1" x14ac:dyDescent="0.2">
      <c r="A24" s="13" t="s">
        <v>61</v>
      </c>
      <c r="B24" s="15">
        <v>658800</v>
      </c>
      <c r="C24" s="15">
        <v>197250</v>
      </c>
      <c r="D24" s="15">
        <v>207700</v>
      </c>
      <c r="E24" s="15">
        <v>274400</v>
      </c>
      <c r="F24" s="15">
        <v>134900</v>
      </c>
      <c r="G24" s="14">
        <f t="shared" si="0"/>
        <v>1473050</v>
      </c>
      <c r="H24" s="27">
        <f>'BY REP'!E24</f>
        <v>1742900</v>
      </c>
    </row>
    <row r="25" spans="1:8" ht="15" customHeight="1" x14ac:dyDescent="0.2">
      <c r="A25" s="13" t="s">
        <v>62</v>
      </c>
      <c r="B25" s="15"/>
      <c r="C25" s="15"/>
      <c r="D25" s="15"/>
      <c r="E25" s="15"/>
      <c r="F25" s="15"/>
      <c r="G25" s="14">
        <f t="shared" si="0"/>
        <v>0</v>
      </c>
      <c r="H25" s="27">
        <f>'BY REP'!E25</f>
        <v>0</v>
      </c>
    </row>
    <row r="26" spans="1:8" ht="15" customHeight="1" x14ac:dyDescent="0.2">
      <c r="A26" s="13" t="s">
        <v>64</v>
      </c>
      <c r="B26" s="15"/>
      <c r="C26" s="15"/>
      <c r="D26" s="15"/>
      <c r="E26" s="15"/>
      <c r="F26" s="15"/>
      <c r="G26" s="14">
        <f t="shared" si="0"/>
        <v>0</v>
      </c>
      <c r="H26" s="27">
        <f>'BY REP'!E26</f>
        <v>0</v>
      </c>
    </row>
    <row r="27" spans="1:8" ht="15" customHeight="1" x14ac:dyDescent="0.2">
      <c r="A27" s="13" t="s">
        <v>65</v>
      </c>
      <c r="B27" s="15">
        <v>586500</v>
      </c>
      <c r="C27" s="15">
        <v>189020</v>
      </c>
      <c r="D27" s="15">
        <v>274532</v>
      </c>
      <c r="E27" s="15">
        <v>136500</v>
      </c>
      <c r="F27" s="15">
        <v>114850</v>
      </c>
      <c r="G27" s="14">
        <f t="shared" si="0"/>
        <v>1301402</v>
      </c>
      <c r="H27" s="27">
        <f>'BY REP'!E27</f>
        <v>1526577</v>
      </c>
    </row>
    <row r="28" spans="1:8" ht="15" customHeight="1" x14ac:dyDescent="0.2">
      <c r="A28" s="13" t="s">
        <v>66</v>
      </c>
      <c r="B28" s="15">
        <v>88599.63</v>
      </c>
      <c r="C28" s="15">
        <v>15555</v>
      </c>
      <c r="D28" s="15">
        <v>4619</v>
      </c>
      <c r="E28" s="15">
        <v>49602</v>
      </c>
      <c r="F28" s="15">
        <v>137829.29999999999</v>
      </c>
      <c r="G28" s="14">
        <f t="shared" si="0"/>
        <v>296204.93</v>
      </c>
      <c r="H28" s="27">
        <f>'BY REP'!E28</f>
        <v>309118.55</v>
      </c>
    </row>
    <row r="29" spans="1:8" ht="15" customHeight="1" x14ac:dyDescent="0.2">
      <c r="A29" s="13" t="s">
        <v>67</v>
      </c>
      <c r="B29" s="15">
        <v>458377.01</v>
      </c>
      <c r="C29" s="15">
        <v>257000</v>
      </c>
      <c r="D29" s="15">
        <v>673233.05</v>
      </c>
      <c r="E29" s="15">
        <v>61500</v>
      </c>
      <c r="F29" s="15">
        <v>84000</v>
      </c>
      <c r="G29" s="14">
        <f t="shared" si="0"/>
        <v>1534110.06</v>
      </c>
      <c r="H29" s="27">
        <f>'BY REP'!E29</f>
        <v>1805680.19</v>
      </c>
    </row>
    <row r="30" spans="1:8" ht="15" customHeight="1" x14ac:dyDescent="0.2">
      <c r="A30" s="13" t="s">
        <v>68</v>
      </c>
      <c r="B30" s="15"/>
      <c r="C30" s="15"/>
      <c r="D30" s="15"/>
      <c r="E30" s="15"/>
      <c r="F30" s="15"/>
      <c r="G30" s="14">
        <f t="shared" si="0"/>
        <v>0</v>
      </c>
      <c r="H30" s="27">
        <f>'BY REP'!E30</f>
        <v>0</v>
      </c>
    </row>
    <row r="31" spans="1:8" ht="15" customHeight="1" x14ac:dyDescent="0.2">
      <c r="A31" s="13" t="s">
        <v>70</v>
      </c>
      <c r="B31" s="15"/>
      <c r="C31" s="15"/>
      <c r="D31" s="15"/>
      <c r="E31" s="15"/>
      <c r="F31" s="15"/>
      <c r="G31" s="14">
        <f t="shared" si="0"/>
        <v>0</v>
      </c>
      <c r="H31" s="27">
        <f>'BY REP'!E31</f>
        <v>0</v>
      </c>
    </row>
    <row r="32" spans="1:8" ht="15" customHeight="1" x14ac:dyDescent="0.2">
      <c r="A32" s="13" t="s">
        <v>71</v>
      </c>
      <c r="B32" s="15"/>
      <c r="C32" s="15"/>
      <c r="D32" s="15"/>
      <c r="E32" s="15"/>
      <c r="F32" s="15"/>
      <c r="G32" s="14">
        <f t="shared" si="0"/>
        <v>0</v>
      </c>
      <c r="H32" s="27">
        <f>'BY REP'!E32</f>
        <v>0</v>
      </c>
    </row>
    <row r="33" spans="1:8" ht="15" customHeight="1" x14ac:dyDescent="0.2">
      <c r="A33" s="13" t="s">
        <v>72</v>
      </c>
      <c r="B33" s="15"/>
      <c r="C33" s="15"/>
      <c r="D33" s="15"/>
      <c r="E33" s="15"/>
      <c r="F33" s="15"/>
      <c r="G33" s="14">
        <f t="shared" si="0"/>
        <v>0</v>
      </c>
      <c r="H33" s="27">
        <f>'BY REP'!E33</f>
        <v>0</v>
      </c>
    </row>
    <row r="34" spans="1:8" ht="15" customHeight="1" x14ac:dyDescent="0.2">
      <c r="A34" s="13" t="s">
        <v>73</v>
      </c>
      <c r="B34" s="15"/>
      <c r="C34" s="15"/>
      <c r="D34" s="15"/>
      <c r="E34" s="15"/>
      <c r="F34" s="15"/>
      <c r="G34" s="14">
        <f t="shared" si="0"/>
        <v>0</v>
      </c>
      <c r="H34" s="27">
        <f>'BY REP'!E34</f>
        <v>0</v>
      </c>
    </row>
    <row r="35" spans="1:8" ht="15" customHeight="1" x14ac:dyDescent="0.2">
      <c r="A35" s="13" t="s">
        <v>74</v>
      </c>
      <c r="B35" s="15"/>
      <c r="C35" s="15"/>
      <c r="D35" s="15"/>
      <c r="E35" s="15"/>
      <c r="F35" s="15"/>
      <c r="G35" s="14">
        <f t="shared" si="0"/>
        <v>0</v>
      </c>
      <c r="H35" s="27">
        <f>'BY REP'!E35</f>
        <v>0</v>
      </c>
    </row>
    <row r="36" spans="1:8" ht="15" customHeight="1" x14ac:dyDescent="0.2">
      <c r="A36" s="13" t="s">
        <v>75</v>
      </c>
      <c r="B36" s="15"/>
      <c r="C36" s="15"/>
      <c r="D36" s="15"/>
      <c r="E36" s="15"/>
      <c r="F36" s="15"/>
      <c r="G36" s="14">
        <f t="shared" si="0"/>
        <v>0</v>
      </c>
      <c r="H36" s="27">
        <f>'BY REP'!E36</f>
        <v>0</v>
      </c>
    </row>
    <row r="37" spans="1:8" ht="15" customHeight="1" x14ac:dyDescent="0.2">
      <c r="A37" s="13" t="s">
        <v>76</v>
      </c>
      <c r="B37" s="15"/>
      <c r="C37" s="15"/>
      <c r="D37" s="15"/>
      <c r="E37" s="15"/>
      <c r="F37" s="15"/>
      <c r="G37" s="14">
        <f t="shared" si="0"/>
        <v>0</v>
      </c>
      <c r="H37" s="27">
        <f>'BY REP'!E37</f>
        <v>0</v>
      </c>
    </row>
    <row r="38" spans="1:8" ht="15" customHeight="1" x14ac:dyDescent="0.2">
      <c r="A38" s="13" t="s">
        <v>77</v>
      </c>
      <c r="B38" s="15"/>
      <c r="C38" s="15"/>
      <c r="D38" s="15"/>
      <c r="E38" s="15"/>
      <c r="F38" s="15"/>
      <c r="G38" s="14">
        <f t="shared" si="0"/>
        <v>0</v>
      </c>
      <c r="H38" s="27">
        <f>'BY REP'!E38</f>
        <v>0</v>
      </c>
    </row>
    <row r="39" spans="1:8" ht="15" customHeight="1" x14ac:dyDescent="0.2">
      <c r="A39" s="26" t="s">
        <v>78</v>
      </c>
      <c r="B39" s="23">
        <f t="shared" ref="B39:H39" si="1">SUM(B5:B38)</f>
        <v>14368574.27</v>
      </c>
      <c r="C39" s="23">
        <f t="shared" si="1"/>
        <v>3128534.84</v>
      </c>
      <c r="D39" s="23">
        <f t="shared" si="1"/>
        <v>3942680.2</v>
      </c>
      <c r="E39" s="23">
        <f t="shared" si="1"/>
        <v>2733754.9</v>
      </c>
      <c r="F39" s="23">
        <f t="shared" si="1"/>
        <v>4165699.6499999994</v>
      </c>
      <c r="G39" s="23">
        <f t="shared" si="1"/>
        <v>28339243.859999996</v>
      </c>
      <c r="H39" s="23">
        <f t="shared" si="1"/>
        <v>31734887.010000002</v>
      </c>
    </row>
    <row r="40" spans="1:8" x14ac:dyDescent="0.2">
      <c r="A40" s="11" t="s">
        <v>92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59669"/>
  </sheetPr>
  <dimension ref="A1:D9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16" customWidth="1"/>
    <col min="2" max="3" width="20" customWidth="1"/>
    <col min="4" max="4" width="14" customWidth="1"/>
  </cols>
  <sheetData>
    <row r="1" spans="1:4" ht="17.25" customHeight="1" x14ac:dyDescent="0.2">
      <c r="A1" s="2" t="s">
        <v>93</v>
      </c>
      <c r="B1" s="2"/>
      <c r="C1" s="2"/>
      <c r="D1" s="2"/>
    </row>
    <row r="2" spans="1:4" ht="15" customHeight="1" x14ac:dyDescent="0.2">
      <c r="A2" s="1" t="s">
        <v>94</v>
      </c>
      <c r="B2" s="1"/>
      <c r="C2" s="1"/>
      <c r="D2" s="1"/>
    </row>
    <row r="4" spans="1:4" ht="15" customHeight="1" x14ac:dyDescent="0.2">
      <c r="A4" s="12" t="s">
        <v>30</v>
      </c>
      <c r="B4" s="12" t="s">
        <v>95</v>
      </c>
      <c r="C4" s="12" t="s">
        <v>96</v>
      </c>
      <c r="D4" s="12" t="s">
        <v>97</v>
      </c>
    </row>
    <row r="5" spans="1:4" ht="15" customHeight="1" x14ac:dyDescent="0.2">
      <c r="A5" s="20" t="s">
        <v>37</v>
      </c>
      <c r="B5" s="14">
        <f>SUMIFS('BY REP'!E5:E38,'BY REP'!B5:B38,"CAN")</f>
        <v>17082614.18</v>
      </c>
      <c r="C5" s="14">
        <f>B5*1.3699</f>
        <v>23401473.165181998</v>
      </c>
      <c r="D5" s="28">
        <f>IF(B$9=0,"-",B5/B$9)</f>
        <v>0.53829131878166414</v>
      </c>
    </row>
    <row r="6" spans="1:4" ht="15" customHeight="1" x14ac:dyDescent="0.2">
      <c r="A6" s="20" t="s">
        <v>51</v>
      </c>
      <c r="B6" s="14">
        <f>SUMIFS('BY REP'!E5:E38,'BY REP'!B5:B38,"USA")</f>
        <v>14652272.83</v>
      </c>
      <c r="C6" s="14">
        <f>B6*1.3699</f>
        <v>20072148.549817</v>
      </c>
      <c r="D6" s="28">
        <f>IF(B$9=0,"-",B6/B$9)</f>
        <v>0.46170868121833597</v>
      </c>
    </row>
    <row r="7" spans="1:4" ht="15" customHeight="1" x14ac:dyDescent="0.2">
      <c r="A7" s="20" t="s">
        <v>69</v>
      </c>
      <c r="B7" s="14">
        <f>SUMIFS('BY REP'!E5:E38,'BY REP'!B5:B38,"EU")</f>
        <v>0</v>
      </c>
      <c r="C7" s="14">
        <f>B7*1.3699</f>
        <v>0</v>
      </c>
      <c r="D7" s="28">
        <f>IF(B$9=0,"-",B7/B$9)</f>
        <v>0</v>
      </c>
    </row>
    <row r="8" spans="1:4" ht="15" customHeight="1" x14ac:dyDescent="0.2">
      <c r="A8" s="20" t="s">
        <v>98</v>
      </c>
      <c r="B8" s="14">
        <f>SUMIFS('BY REP'!E5:E38,'BY REP'!B5:B38,"ROW")</f>
        <v>0</v>
      </c>
      <c r="C8" s="14">
        <f>B8*1.3699</f>
        <v>0</v>
      </c>
      <c r="D8" s="29">
        <f>IF(B$9=0,"-",B8/B$9)</f>
        <v>0</v>
      </c>
    </row>
    <row r="9" spans="1:4" x14ac:dyDescent="0.2">
      <c r="A9" s="26" t="s">
        <v>99</v>
      </c>
      <c r="B9" s="23">
        <f>SUM(B5:B8)</f>
        <v>31734887.009999998</v>
      </c>
      <c r="C9" s="23">
        <f>SUM(C5:C8)</f>
        <v>43473621.714998998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C3AED"/>
  </sheetPr>
  <dimension ref="A1:D15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26" customWidth="1"/>
    <col min="2" max="3" width="22" customWidth="1"/>
    <col min="4" max="4" width="30" customWidth="1"/>
  </cols>
  <sheetData>
    <row r="1" spans="1:4" ht="17.25" customHeight="1" x14ac:dyDescent="0.2">
      <c r="A1" s="2" t="s">
        <v>100</v>
      </c>
      <c r="B1" s="2"/>
      <c r="C1" s="2"/>
      <c r="D1" s="2"/>
    </row>
    <row r="2" spans="1:4" ht="15" customHeight="1" x14ac:dyDescent="0.2">
      <c r="A2" s="1" t="s">
        <v>101</v>
      </c>
      <c r="B2" s="1"/>
      <c r="C2" s="1"/>
      <c r="D2" s="1"/>
    </row>
    <row r="4" spans="1:4" ht="15" customHeight="1" x14ac:dyDescent="0.2">
      <c r="A4" s="30" t="s">
        <v>102</v>
      </c>
      <c r="B4" s="30" t="s">
        <v>33</v>
      </c>
      <c r="C4" s="30" t="s">
        <v>34</v>
      </c>
      <c r="D4" s="30" t="s">
        <v>35</v>
      </c>
    </row>
    <row r="5" spans="1:4" ht="15" customHeight="1" x14ac:dyDescent="0.2">
      <c r="A5" s="31" t="s">
        <v>103</v>
      </c>
      <c r="B5" s="32"/>
      <c r="C5" s="33" t="str">
        <f t="shared" ref="C5:C14" si="0">IF(B5="","",B5*1.3699)</f>
        <v/>
      </c>
      <c r="D5" s="34"/>
    </row>
    <row r="6" spans="1:4" ht="15" customHeight="1" x14ac:dyDescent="0.2">
      <c r="A6" s="31" t="s">
        <v>104</v>
      </c>
      <c r="B6" s="32"/>
      <c r="C6" s="33" t="str">
        <f t="shared" si="0"/>
        <v/>
      </c>
      <c r="D6" s="34"/>
    </row>
    <row r="7" spans="1:4" ht="15" customHeight="1" x14ac:dyDescent="0.2">
      <c r="A7" s="31" t="s">
        <v>105</v>
      </c>
      <c r="B7" s="32"/>
      <c r="C7" s="33" t="str">
        <f t="shared" si="0"/>
        <v/>
      </c>
      <c r="D7" s="34"/>
    </row>
    <row r="8" spans="1:4" ht="15" customHeight="1" x14ac:dyDescent="0.2">
      <c r="A8" s="31" t="s">
        <v>106</v>
      </c>
      <c r="B8" s="32"/>
      <c r="C8" s="33" t="str">
        <f t="shared" si="0"/>
        <v/>
      </c>
      <c r="D8" s="34"/>
    </row>
    <row r="9" spans="1:4" ht="15" customHeight="1" x14ac:dyDescent="0.2">
      <c r="A9" s="31" t="s">
        <v>107</v>
      </c>
      <c r="B9" s="32"/>
      <c r="C9" s="33" t="str">
        <f t="shared" si="0"/>
        <v/>
      </c>
      <c r="D9" s="34"/>
    </row>
    <row r="10" spans="1:4" ht="15" customHeight="1" x14ac:dyDescent="0.2">
      <c r="A10" s="31" t="s">
        <v>108</v>
      </c>
      <c r="B10" s="32"/>
      <c r="C10" s="33" t="str">
        <f t="shared" si="0"/>
        <v/>
      </c>
      <c r="D10" s="34"/>
    </row>
    <row r="11" spans="1:4" ht="15" customHeight="1" x14ac:dyDescent="0.2">
      <c r="A11" s="31" t="s">
        <v>109</v>
      </c>
      <c r="B11" s="32"/>
      <c r="C11" s="33" t="str">
        <f t="shared" si="0"/>
        <v/>
      </c>
      <c r="D11" s="34"/>
    </row>
    <row r="12" spans="1:4" ht="15" customHeight="1" x14ac:dyDescent="0.2">
      <c r="A12" s="31" t="s">
        <v>110</v>
      </c>
      <c r="B12" s="32"/>
      <c r="C12" s="33" t="str">
        <f t="shared" si="0"/>
        <v/>
      </c>
      <c r="D12" s="34"/>
    </row>
    <row r="13" spans="1:4" ht="15" customHeight="1" x14ac:dyDescent="0.2">
      <c r="A13" s="31" t="s">
        <v>44</v>
      </c>
      <c r="B13" s="32"/>
      <c r="C13" s="33" t="str">
        <f t="shared" si="0"/>
        <v/>
      </c>
      <c r="D13" s="34"/>
    </row>
    <row r="14" spans="1:4" ht="15" customHeight="1" x14ac:dyDescent="0.2">
      <c r="A14" s="31" t="s">
        <v>58</v>
      </c>
      <c r="B14" s="32"/>
      <c r="C14" s="33" t="str">
        <f t="shared" si="0"/>
        <v/>
      </c>
      <c r="D14" s="34"/>
    </row>
    <row r="15" spans="1:4" ht="15" customHeight="1" x14ac:dyDescent="0.2">
      <c r="A15" s="31" t="s">
        <v>111</v>
      </c>
      <c r="B15" s="35">
        <f>SUM(B5:B14)</f>
        <v>0</v>
      </c>
      <c r="C15" s="35">
        <f>SUM(C5:C14)</f>
        <v>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891B2"/>
  </sheetPr>
  <dimension ref="A1:D14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30" customWidth="1"/>
    <col min="2" max="3" width="22" customWidth="1"/>
    <col min="4" max="4" width="30" customWidth="1"/>
  </cols>
  <sheetData>
    <row r="1" spans="1:4" ht="17.25" customHeight="1" x14ac:dyDescent="0.2">
      <c r="A1" s="2" t="s">
        <v>112</v>
      </c>
      <c r="B1" s="2"/>
      <c r="C1" s="2"/>
      <c r="D1" s="2"/>
    </row>
    <row r="2" spans="1:4" ht="15" customHeight="1" x14ac:dyDescent="0.2">
      <c r="A2" s="1" t="s">
        <v>113</v>
      </c>
      <c r="B2" s="1"/>
      <c r="C2" s="1"/>
      <c r="D2" s="1"/>
    </row>
    <row r="4" spans="1:4" ht="15" customHeight="1" x14ac:dyDescent="0.2">
      <c r="A4" s="30" t="s">
        <v>114</v>
      </c>
      <c r="B4" s="30" t="s">
        <v>33</v>
      </c>
      <c r="C4" s="30" t="s">
        <v>34</v>
      </c>
      <c r="D4" s="30" t="s">
        <v>35</v>
      </c>
    </row>
    <row r="5" spans="1:4" ht="15" customHeight="1" x14ac:dyDescent="0.2">
      <c r="A5" s="31" t="s">
        <v>115</v>
      </c>
      <c r="B5" s="32"/>
      <c r="C5" s="33" t="str">
        <f t="shared" ref="C5:C13" si="0">IF(B5="","",B5*1.3699)</f>
        <v/>
      </c>
      <c r="D5" s="34"/>
    </row>
    <row r="6" spans="1:4" ht="15" customHeight="1" x14ac:dyDescent="0.2">
      <c r="A6" s="31" t="s">
        <v>116</v>
      </c>
      <c r="B6" s="32"/>
      <c r="C6" s="33" t="str">
        <f t="shared" si="0"/>
        <v/>
      </c>
      <c r="D6" s="34"/>
    </row>
    <row r="7" spans="1:4" ht="15" customHeight="1" x14ac:dyDescent="0.2">
      <c r="A7" s="31" t="s">
        <v>117</v>
      </c>
      <c r="B7" s="32"/>
      <c r="C7" s="33" t="str">
        <f t="shared" si="0"/>
        <v/>
      </c>
      <c r="D7" s="34"/>
    </row>
    <row r="8" spans="1:4" ht="15" customHeight="1" x14ac:dyDescent="0.2">
      <c r="A8" s="31" t="s">
        <v>118</v>
      </c>
      <c r="B8" s="32"/>
      <c r="C8" s="33" t="str">
        <f t="shared" si="0"/>
        <v/>
      </c>
      <c r="D8" s="34"/>
    </row>
    <row r="9" spans="1:4" ht="15" customHeight="1" x14ac:dyDescent="0.2">
      <c r="A9" s="31" t="s">
        <v>119</v>
      </c>
      <c r="B9" s="32"/>
      <c r="C9" s="33" t="str">
        <f t="shared" si="0"/>
        <v/>
      </c>
      <c r="D9" s="34"/>
    </row>
    <row r="10" spans="1:4" ht="15" customHeight="1" x14ac:dyDescent="0.2">
      <c r="A10" s="31" t="s">
        <v>120</v>
      </c>
      <c r="B10" s="32"/>
      <c r="C10" s="33" t="str">
        <f t="shared" si="0"/>
        <v/>
      </c>
      <c r="D10" s="34"/>
    </row>
    <row r="11" spans="1:4" ht="15" customHeight="1" x14ac:dyDescent="0.2">
      <c r="A11" s="31" t="s">
        <v>121</v>
      </c>
      <c r="B11" s="32"/>
      <c r="C11" s="33" t="str">
        <f t="shared" si="0"/>
        <v/>
      </c>
      <c r="D11" s="34"/>
    </row>
    <row r="12" spans="1:4" ht="15" customHeight="1" x14ac:dyDescent="0.2">
      <c r="A12" s="31" t="s">
        <v>122</v>
      </c>
      <c r="B12" s="32"/>
      <c r="C12" s="33" t="str">
        <f t="shared" si="0"/>
        <v/>
      </c>
      <c r="D12" s="34"/>
    </row>
    <row r="13" spans="1:4" ht="15" customHeight="1" x14ac:dyDescent="0.2">
      <c r="A13" s="31" t="s">
        <v>123</v>
      </c>
      <c r="B13" s="32"/>
      <c r="C13" s="33" t="str">
        <f t="shared" si="0"/>
        <v/>
      </c>
      <c r="D13" s="34"/>
    </row>
    <row r="14" spans="1:4" ht="15" customHeight="1" x14ac:dyDescent="0.2">
      <c r="A14" s="31" t="s">
        <v>124</v>
      </c>
      <c r="B14" s="35">
        <f>SUM(B5:B13)</f>
        <v>0</v>
      </c>
      <c r="C14" s="35">
        <f>SUM(C5:C13)</f>
        <v>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zoomScaleNormal="100" workbookViewId="0"/>
  </sheetViews>
  <sheetFormatPr baseColWidth="10" defaultColWidth="8.6640625" defaultRowHeight="15" x14ac:dyDescent="0.2"/>
  <cols>
    <col min="1" max="1" width="24" customWidth="1"/>
    <col min="2" max="3" width="22" customWidth="1"/>
    <col min="4" max="4" width="30" customWidth="1"/>
  </cols>
  <sheetData>
    <row r="1" spans="1:4" ht="18" x14ac:dyDescent="0.2">
      <c r="A1" s="10" t="s">
        <v>125</v>
      </c>
    </row>
    <row r="2" spans="1:4" x14ac:dyDescent="0.2">
      <c r="A2" s="11" t="s">
        <v>126</v>
      </c>
    </row>
    <row r="4" spans="1:4" x14ac:dyDescent="0.2">
      <c r="A4" s="36" t="s">
        <v>127</v>
      </c>
      <c r="B4" s="36" t="s">
        <v>33</v>
      </c>
      <c r="C4" s="36" t="s">
        <v>34</v>
      </c>
      <c r="D4" s="36" t="s">
        <v>35</v>
      </c>
    </row>
    <row r="5" spans="1:4" x14ac:dyDescent="0.2">
      <c r="A5" s="18" t="s">
        <v>128</v>
      </c>
      <c r="B5" s="37"/>
      <c r="C5" s="16" t="str">
        <f>IF(B5="","",B5*1.3699)</f>
        <v/>
      </c>
      <c r="D5" s="17"/>
    </row>
    <row r="6" spans="1:4" x14ac:dyDescent="0.2">
      <c r="A6" s="18" t="s">
        <v>53</v>
      </c>
      <c r="B6" s="37"/>
      <c r="C6" s="16" t="str">
        <f>IF(B6="","",B6*1.3699)</f>
        <v/>
      </c>
      <c r="D6" s="17"/>
    </row>
    <row r="7" spans="1:4" x14ac:dyDescent="0.2">
      <c r="A7" s="18" t="s">
        <v>102</v>
      </c>
      <c r="B7" s="37"/>
      <c r="C7" s="16" t="str">
        <f>IF(B7="","",B7*1.3699)</f>
        <v/>
      </c>
      <c r="D7" s="17"/>
    </row>
    <row r="8" spans="1:4" x14ac:dyDescent="0.2">
      <c r="A8" s="18" t="s">
        <v>129</v>
      </c>
      <c r="B8" s="37"/>
      <c r="C8" s="16" t="str">
        <f>IF(B8="","",B8*1.3699)</f>
        <v/>
      </c>
      <c r="D8" s="17"/>
    </row>
    <row r="9" spans="1:4" x14ac:dyDescent="0.2">
      <c r="A9" s="18" t="s">
        <v>130</v>
      </c>
      <c r="B9" s="37"/>
      <c r="C9" s="16" t="str">
        <f>IF(B9="","",B9*1.3699)</f>
        <v/>
      </c>
      <c r="D9" s="17"/>
    </row>
    <row r="10" spans="1:4" x14ac:dyDescent="0.2">
      <c r="A10" s="26" t="s">
        <v>131</v>
      </c>
      <c r="B10" s="23">
        <f>SUM(B5:B9)</f>
        <v>0</v>
      </c>
      <c r="C10" s="23">
        <f>SUM(C5:C9)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BY REP</vt:lpstr>
      <vt:lpstr>BY CATEGORY</vt:lpstr>
      <vt:lpstr>BY REGION</vt:lpstr>
      <vt:lpstr>KEY ACCOUNTS</vt:lpstr>
      <vt:lpstr>SPECIALTY ACCOUNTS</vt:lpstr>
      <vt:lpstr>CHANNEL BUDGETS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Cole Chapman</cp:lastModifiedBy>
  <cp:revision>0</cp:revision>
  <dcterms:created xsi:type="dcterms:W3CDTF">2026-03-03T22:09:34Z</dcterms:created>
  <dcterms:modified xsi:type="dcterms:W3CDTF">2026-03-04T12:52:10Z</dcterms:modified>
  <dc:language>en-US</dc:language>
</cp:coreProperties>
</file>